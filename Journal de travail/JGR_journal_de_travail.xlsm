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465" windowWidth="28800" windowHeight="17535"/>
  </bookViews>
  <sheets>
    <sheet name="Journal" sheetId="1" r:id="rId1"/>
    <sheet name="Totaux" sheetId="4" r:id="rId2"/>
    <sheet name="Paramètres" sheetId="2" r:id="rId3"/>
  </sheets>
  <calcPr calcId="162913"/>
  <pivotCaches>
    <pivotCache cacheId="0" r:id="rId4"/>
  </pivotCaches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2" i="1" l="1"/>
  <c r="B3" i="1" l="1"/>
  <c r="B4" i="1" l="1"/>
  <c r="B5" i="1"/>
  <c r="B6" i="1"/>
  <c r="B7" i="1"/>
  <c r="B8" i="1" l="1"/>
  <c r="B9" i="1"/>
  <c r="B10" i="1"/>
  <c r="B11" i="1" l="1"/>
  <c r="B12" i="1"/>
  <c r="B13" i="1"/>
  <c r="B14" i="1"/>
  <c r="B15" i="1" l="1"/>
  <c r="B16" i="1"/>
  <c r="B17" i="1"/>
  <c r="B18" i="1" l="1"/>
  <c r="B19" i="1"/>
  <c r="B20" i="1" l="1"/>
  <c r="B21" i="1"/>
  <c r="B22" i="1"/>
  <c r="B23" i="1" l="1"/>
  <c r="B24" i="1"/>
  <c r="B25" i="1" l="1"/>
  <c r="B26" i="1"/>
  <c r="B27" i="1" l="1"/>
  <c r="B28" i="1"/>
  <c r="B29" i="1" l="1"/>
  <c r="B30" i="1" l="1"/>
  <c r="B31" i="1"/>
  <c r="B32" i="1" l="1"/>
  <c r="B33" i="1"/>
  <c r="B34" i="1" l="1"/>
  <c r="B35" i="1"/>
  <c r="B36" i="1"/>
  <c r="B37" i="1" l="1"/>
  <c r="B38" i="1"/>
  <c r="B39" i="1"/>
  <c r="B40" i="1"/>
  <c r="B41" i="1"/>
  <c r="B42" i="1"/>
  <c r="B43" i="1" l="1"/>
</calcChain>
</file>

<file path=xl/sharedStrings.xml><?xml version="1.0" encoding="utf-8"?>
<sst xmlns="http://schemas.openxmlformats.org/spreadsheetml/2006/main" count="109" uniqueCount="62">
  <si>
    <t>Description</t>
  </si>
  <si>
    <t>Remarques/problèmes</t>
  </si>
  <si>
    <t>Jour</t>
  </si>
  <si>
    <t>Type</t>
  </si>
  <si>
    <t>Types de tâches</t>
  </si>
  <si>
    <t>Analyse</t>
  </si>
  <si>
    <t>Implémentation</t>
  </si>
  <si>
    <t>Tests</t>
  </si>
  <si>
    <t>Documentation</t>
  </si>
  <si>
    <t>Absence</t>
  </si>
  <si>
    <t>Total général</t>
  </si>
  <si>
    <t>Semaine</t>
  </si>
  <si>
    <t>Temps [période]</t>
  </si>
  <si>
    <t>Définition de la technologie qui sera utilié pour ce module.</t>
  </si>
  <si>
    <t>Avec Alexandre on hésitait entre faire ce projet en PhP ou en C#. Nous avons décidé de partir sur du C#.</t>
  </si>
  <si>
    <t>Reçu la consigne du projet, possibilité de poser des questions au client.</t>
  </si>
  <si>
    <t>Définir les points importants dans un cahier des charges</t>
  </si>
  <si>
    <t>Création du cahier des charges, de la maquette du logiciel.</t>
  </si>
  <si>
    <t>Création du journal de travail.</t>
  </si>
  <si>
    <t>Ajouter tout ce qui a été fait les jours précédents dans ce module.</t>
  </si>
  <si>
    <t>Installation des différents logiciels qui seront utilisés pendant le projet. Mis en place du trello et le répertoire Github.</t>
  </si>
  <si>
    <t>Continuer à faire le cahier des charges.</t>
  </si>
  <si>
    <t>Somme de Temps [période]</t>
  </si>
  <si>
    <t>M. Rapopport est venue nous parler du service santé du CPNV.</t>
  </si>
  <si>
    <t>Finalisation du cahier des charges, ajout des use case et scénarios dans celui-ci, ajout des maquettes de l'application.</t>
  </si>
  <si>
    <t>Commencement de la documentation du projet. Ajouter l'introduction au projet, les objectifs, la planification intiale, ajout de la page de titre.</t>
  </si>
  <si>
    <t>Finalisation du cahier des charges que j'ai ensuite donné à Alexandre pour qu'il l'envoie.</t>
  </si>
  <si>
    <t xml:space="preserve">Commencement de l'application sur Visual Studio </t>
  </si>
  <si>
    <t xml:space="preserve">Feed-back du camp avec M. Chevillat </t>
  </si>
  <si>
    <t xml:space="preserve">J'ai continué d'implémenter l'application </t>
  </si>
  <si>
    <t>Afficher les dossiers et fichiers d'un dossier. Je n'arrive pas à afficher l'image "dossier" pour les dossiers.</t>
  </si>
  <si>
    <t>Absent pour maladie</t>
  </si>
  <si>
    <t>Ajout des use cases dans la documentation. Ajout aussi ajouter dans un paragraphe les risques techniques</t>
  </si>
  <si>
    <t>Continuer à faire l'application, je me suis aidé de certains tutos sur youtube pour voir quelle technologie de C# on allait utiliser</t>
  </si>
  <si>
    <t>Changement de l'application une première fois, utilisation de webbrowser. Après quelques réflexions nous avons abandonné l'idée d'utiliser cette technologie. On est alors revenu en arrière.</t>
  </si>
  <si>
    <t>Ajout des maquettes dans le document, renseigné le dossier de réalisation avec tout ce qu'on utilise pour le projet.</t>
  </si>
  <si>
    <t>Journée d'information à l'armée</t>
  </si>
  <si>
    <t xml:space="preserve">Travail avec Alexandre pour faire le tri des fichiers par auteurs et par date de création du fichier </t>
  </si>
  <si>
    <t>Inversion des périodes avec la gestion de projet par M. Chevillat</t>
  </si>
  <si>
    <t>Ajout de quelques chapitres dans la documentation du projet.</t>
  </si>
  <si>
    <t>J'ai aidé Alexandre à faire des tests pour afficher les données dans notre application.</t>
  </si>
  <si>
    <t xml:space="preserve">Correction d'orthographes dans la documentation et mis à jour de certains chapitres </t>
  </si>
  <si>
    <t xml:space="preserve">Aide à Alexandre pour la lecture des fichiers d'Office </t>
  </si>
  <si>
    <t xml:space="preserve">On arrive à lire le contenu dans un fichier word et un document texte </t>
  </si>
  <si>
    <t>Discussion avec M. Chevillat avec toute la classe</t>
  </si>
  <si>
    <t>Ajout de stratégie de test, de la planification initale et complété le Trello</t>
  </si>
  <si>
    <t>Aidé Alexandre pour un bout du code</t>
  </si>
  <si>
    <t xml:space="preserve">Réflexion pour le projet, réfléchir aux nouvelles classes pour les tris, et autres. Refactorisation du code </t>
  </si>
  <si>
    <t>Activité avec M. Chevillat</t>
  </si>
  <si>
    <t>Changement de l'application, modification du visuel et ajout de nouvelles classes et méthodes</t>
  </si>
  <si>
    <t>Continuer le changement du 16 novembre. Ajustement de nos anciennes fonctions avec le nouvel environnement</t>
  </si>
  <si>
    <t>Préparer les portes ouvertes avec M. Chevillat</t>
  </si>
  <si>
    <t xml:space="preserve">Aider Alexandre pour faire une fonction de recherche </t>
  </si>
  <si>
    <t>Ajout du chapitre sur les tests et ajout de quelques lignes pour la conclusion</t>
  </si>
  <si>
    <t xml:space="preserve">Recherche sur un moyen de lire les pdf </t>
  </si>
  <si>
    <t>Nous avons trouvé et utilisé iTextSharp</t>
  </si>
  <si>
    <t xml:space="preserve">Nous avons aussi chercher avec Alexandre un moyen de lire le texte à l'intérieur des fichiers excel </t>
  </si>
  <si>
    <t>Gérer les différentes erreurs possibles, suppression des dll et packages inutiles. Test de l'application sur un autre ordinateur</t>
  </si>
  <si>
    <t>Pour les erreurs nous avons décidé de ne pas afficher les images, vidéo et son lors d'une recherche avec un mot clé à l'intérieur d'un fichier</t>
  </si>
  <si>
    <t xml:space="preserve">Refaire les uses case, compléter le chapitre du dossier de réalisation </t>
  </si>
  <si>
    <t>Prendre du temps pour refaire l'orthographe et la syntaxe des phrases</t>
  </si>
  <si>
    <t xml:space="preserve">Refactoriser des bouts de codes, améliorer une partie du code où on pouvait améliorer le développement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</si>
</sst>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Helvetica"/>
    </font>
    <font>
      <sz val="1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  <xf numFmtId="0" fontId="0" fillId="0" borderId="1" xfId="0" applyBorder="1" applyAlignment="1">
      <alignment horizontal="left" vertical="center" wrapText="1"/>
    </xf>
    <xf numFmtId="16" fontId="0" fillId="0" borderId="1" xfId="0" applyNumberFormat="1" applyBorder="1" applyAlignment="1" applyProtection="1">
      <alignment horizontal="center" vertical="center" wrapText="1"/>
      <protection locked="0"/>
    </xf>
    <xf numFmtId="1" fontId="0" fillId="0" borderId="1" xfId="0" applyNumberFormat="1" applyBorder="1" applyAlignment="1" applyProtection="1">
      <alignment horizontal="center" vertical="center" wrapText="1"/>
    </xf>
    <xf numFmtId="0" fontId="0" fillId="0" borderId="1" xfId="0" applyNumberFormat="1" applyBorder="1" applyAlignment="1" applyProtection="1">
      <alignment horizontal="center" vertical="center" wrapText="1"/>
      <protection locked="0"/>
    </xf>
    <xf numFmtId="0" fontId="0" fillId="0" borderId="1" xfId="0" applyBorder="1" applyAlignment="1" applyProtection="1">
      <alignment horizontal="center" vertical="center" wrapText="1"/>
      <protection locked="0"/>
    </xf>
    <xf numFmtId="0" fontId="0" fillId="0" borderId="0" xfId="0" pivotButton="1"/>
    <xf numFmtId="0" fontId="0" fillId="0" borderId="0" xfId="0" applyNumberFormat="1"/>
    <xf numFmtId="0" fontId="4" fillId="0" borderId="0" xfId="0" applyNumberFormat="1" applyFont="1" applyFill="1"/>
    <xf numFmtId="0" fontId="0" fillId="0" borderId="0" xfId="0" applyBorder="1" applyAlignment="1">
      <alignment horizontal="center" vertical="center"/>
    </xf>
    <xf numFmtId="0" fontId="0" fillId="0" borderId="0" xfId="0" applyNumberFormat="1" applyBorder="1" applyAlignment="1" applyProtection="1">
      <alignment horizontal="center" vertical="center"/>
      <protection locked="0"/>
    </xf>
    <xf numFmtId="0" fontId="0" fillId="0" borderId="0" xfId="0" applyBorder="1" applyProtection="1">
      <protection locked="0"/>
    </xf>
    <xf numFmtId="0" fontId="0" fillId="0" borderId="0" xfId="0" applyBorder="1" applyAlignment="1" applyProtection="1">
      <alignment horizontal="center"/>
      <protection locked="0"/>
    </xf>
  </cellXfs>
  <cellStyles count="1">
    <cellStyle name="Normal" xfId="0" builtinId="0"/>
  </cellStyles>
  <dxfs count="3">
    <dxf>
      <fill>
        <patternFill patternType="none">
          <bgColor auto="1"/>
        </patternFill>
      </fill>
    </dxf>
    <dxf>
      <fill>
        <patternFill patternType="solid">
          <bgColor rgb="FFFFFF00"/>
        </patternFill>
      </fill>
    </dxf>
    <dxf>
      <font>
        <color auto="1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28575</xdr:rowOff>
        </xdr:from>
        <xdr:to>
          <xdr:col>4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eur" refreshedDate="43438.647516666664" createdVersion="4" refreshedVersion="6" minRefreshableVersion="3" recordCount="39">
  <cacheSource type="worksheet">
    <worksheetSource ref="A1:D43" sheet="Journal"/>
  </cacheSource>
  <cacheFields count="4">
    <cacheField name="Jour" numFmtId="16">
      <sharedItems containsSemiMixedTypes="0" containsNonDate="0" containsDate="1" containsString="0" minDate="2018-01-01T00:00:00" maxDate="2018-12-05T00:00:00" count="48">
        <d v="2018-12-04T00:00:00"/>
        <d v="2018-11-29T00:00:00"/>
        <d v="2018-11-27T00:00:00"/>
        <d v="2018-11-22T00:00:00"/>
        <d v="2018-11-20T00:00:00"/>
        <d v="2018-11-16T00:00:00"/>
        <d v="2018-11-15T00:00:00"/>
        <d v="2018-11-09T00:00:00"/>
        <d v="2018-11-06T00:00:00"/>
        <d v="2018-11-02T00:00:00"/>
        <d v="2018-10-31T00:00:00"/>
        <d v="2018-10-30T00:00:00"/>
        <d v="2018-10-12T00:00:00"/>
        <d v="2018-10-09T00:00:00"/>
        <d v="2018-10-05T00:00:00"/>
        <d v="2018-10-02T00:00:00"/>
        <d v="2018-09-28T00:00:00"/>
        <d v="2018-09-25T00:00:00"/>
        <d v="2018-09-14T00:00:00"/>
        <d v="2018-09-11T00:00:00"/>
        <d v="2018-09-07T00:00:00"/>
        <d v="2018-09-04T00:00:00"/>
        <d v="2018-08-31T00:00:00"/>
        <d v="2018-02-09T00:00:00" u="1"/>
        <d v="2018-02-28T00:00:00" u="1"/>
        <d v="2018-02-02T00:00:00" u="1"/>
        <d v="2018-03-07T00:00:00" u="1"/>
        <d v="2018-05-17T00:00:00" u="1"/>
        <d v="2018-02-14T00:00:00" u="1"/>
        <d v="2018-02-07T00:00:00" u="1"/>
        <d v="2018-05-22T00:00:00" u="1"/>
        <d v="2018-05-15T00:00:00" u="1"/>
        <d v="2018-05-08T00:00:00" u="1"/>
        <d v="2018-05-18T00:00:00" u="1"/>
        <d v="2018-03-01T00:00:00" u="1"/>
        <d v="2018-02-15T00:00:00" u="1"/>
        <d v="2018-02-08T00:00:00" u="1"/>
        <d v="2018-02-27T00:00:00" u="1"/>
        <d v="2018-02-01T00:00:00" u="1"/>
        <d v="2018-03-06T00:00:00" u="1"/>
        <d v="2018-05-16T00:00:00" u="1"/>
        <d v="2018-02-13T00:00:00" u="1"/>
        <d v="2018-05-09T00:00:00" u="1"/>
        <d v="2018-01-01T00:00:00" u="1"/>
        <d v="2018-02-06T00:00:00" u="1"/>
        <d v="2018-09-08T00:00:00" u="1"/>
        <d v="2018-03-02T00:00:00" u="1"/>
        <d v="2018-02-16T00:00:00" u="1"/>
      </sharedItems>
    </cacheField>
    <cacheField name="Semaine" numFmtId="1">
      <sharedItems containsSemiMixedTypes="0" containsString="0" containsNumber="1" containsInteger="1" minValue="35" maxValue="49"/>
    </cacheField>
    <cacheField name="Temps [période]" numFmtId="0">
      <sharedItems containsSemiMixedTypes="0" containsString="0" containsNumber="1" containsInteger="1" minValue="1" maxValue="3"/>
    </cacheField>
    <cacheField name="Type" numFmtId="0">
      <sharedItems count="5">
        <s v="Implémentation"/>
        <s v="Documentation"/>
        <s v="Absence"/>
        <s v="Analyse"/>
        <s v="Tests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9">
  <r>
    <x v="0"/>
    <n v="49"/>
    <n v="2"/>
    <x v="0"/>
  </r>
  <r>
    <x v="1"/>
    <n v="48"/>
    <n v="2"/>
    <x v="0"/>
  </r>
  <r>
    <x v="1"/>
    <n v="48"/>
    <n v="1"/>
    <x v="0"/>
  </r>
  <r>
    <x v="2"/>
    <n v="48"/>
    <n v="1"/>
    <x v="1"/>
  </r>
  <r>
    <x v="2"/>
    <n v="48"/>
    <n v="2"/>
    <x v="0"/>
  </r>
  <r>
    <x v="3"/>
    <n v="47"/>
    <n v="3"/>
    <x v="2"/>
  </r>
  <r>
    <x v="4"/>
    <n v="47"/>
    <n v="3"/>
    <x v="0"/>
  </r>
  <r>
    <x v="5"/>
    <n v="46"/>
    <n v="3"/>
    <x v="0"/>
  </r>
  <r>
    <x v="6"/>
    <n v="46"/>
    <n v="3"/>
    <x v="0"/>
  </r>
  <r>
    <x v="7"/>
    <n v="45"/>
    <n v="3"/>
    <x v="0"/>
  </r>
  <r>
    <x v="8"/>
    <n v="45"/>
    <n v="1"/>
    <x v="0"/>
  </r>
  <r>
    <x v="8"/>
    <n v="45"/>
    <n v="1"/>
    <x v="1"/>
  </r>
  <r>
    <x v="8"/>
    <n v="45"/>
    <n v="1"/>
    <x v="2"/>
  </r>
  <r>
    <x v="9"/>
    <n v="44"/>
    <n v="2"/>
    <x v="0"/>
  </r>
  <r>
    <x v="9"/>
    <n v="44"/>
    <n v="1"/>
    <x v="1"/>
  </r>
  <r>
    <x v="10"/>
    <n v="44"/>
    <n v="1"/>
    <x v="0"/>
  </r>
  <r>
    <x v="10"/>
    <n v="44"/>
    <n v="1"/>
    <x v="1"/>
  </r>
  <r>
    <x v="11"/>
    <n v="44"/>
    <n v="3"/>
    <x v="2"/>
  </r>
  <r>
    <x v="12"/>
    <n v="41"/>
    <n v="3"/>
    <x v="0"/>
  </r>
  <r>
    <x v="13"/>
    <n v="41"/>
    <n v="3"/>
    <x v="2"/>
  </r>
  <r>
    <x v="14"/>
    <n v="40"/>
    <n v="1"/>
    <x v="1"/>
  </r>
  <r>
    <x v="14"/>
    <n v="40"/>
    <n v="2"/>
    <x v="0"/>
  </r>
  <r>
    <x v="15"/>
    <n v="40"/>
    <n v="2"/>
    <x v="0"/>
  </r>
  <r>
    <x v="15"/>
    <n v="40"/>
    <n v="1"/>
    <x v="1"/>
  </r>
  <r>
    <x v="16"/>
    <n v="39"/>
    <n v="3"/>
    <x v="2"/>
  </r>
  <r>
    <x v="17"/>
    <n v="39"/>
    <n v="2"/>
    <x v="0"/>
  </r>
  <r>
    <x v="17"/>
    <n v="39"/>
    <n v="1"/>
    <x v="3"/>
  </r>
  <r>
    <x v="18"/>
    <n v="37"/>
    <n v="2"/>
    <x v="0"/>
  </r>
  <r>
    <x v="18"/>
    <n v="37"/>
    <n v="1"/>
    <x v="1"/>
  </r>
  <r>
    <x v="19"/>
    <n v="37"/>
    <n v="1"/>
    <x v="1"/>
  </r>
  <r>
    <x v="19"/>
    <n v="37"/>
    <n v="1"/>
    <x v="3"/>
  </r>
  <r>
    <x v="19"/>
    <n v="37"/>
    <n v="1"/>
    <x v="2"/>
  </r>
  <r>
    <x v="20"/>
    <n v="36"/>
    <n v="2"/>
    <x v="1"/>
  </r>
  <r>
    <x v="20"/>
    <n v="36"/>
    <n v="1"/>
    <x v="1"/>
  </r>
  <r>
    <x v="21"/>
    <n v="36"/>
    <n v="2"/>
    <x v="1"/>
  </r>
  <r>
    <x v="21"/>
    <n v="36"/>
    <n v="1"/>
    <x v="3"/>
  </r>
  <r>
    <x v="22"/>
    <n v="35"/>
    <n v="1"/>
    <x v="3"/>
  </r>
  <r>
    <x v="22"/>
    <n v="35"/>
    <n v="1"/>
    <x v="3"/>
  </r>
  <r>
    <x v="22"/>
    <n v="35"/>
    <n v="1"/>
    <x v="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2" cacheId="0" applyNumberFormats="0" applyBorderFormats="0" applyFontFormats="0" applyPatternFormats="0" applyAlignmentFormats="0" applyWidthHeightFormats="1" dataCaption="Valeurs" updatedVersion="6" minRefreshableVersion="3" useAutoFormatting="1" itemPrintTitles="1" createdVersion="4" indent="0" showHeaders="0" outline="1" outlineData="1" multipleFieldFilters="0">
  <location ref="A3:F28" firstHeaderRow="1" firstDataRow="2" firstDataCol="1"/>
  <pivotFields count="4">
    <pivotField axis="axisRow" numFmtId="16" showAll="0" defaultSubtotal="0">
      <items count="48">
        <item sd="0" m="1" x="43"/>
        <item sd="0" m="1" x="36"/>
        <item sd="0" m="1" x="29"/>
        <item sd="0" m="1" x="44"/>
        <item sd="0" m="1" x="25"/>
        <item sd="0" m="1" x="38"/>
        <item sd="0" m="1" x="47"/>
        <item sd="0" m="1" x="35"/>
        <item sd="0" m="1" x="28"/>
        <item sd="0" m="1" x="41"/>
        <item sd="0" m="1" x="23"/>
        <item sd="0" m="1" x="37"/>
        <item sd="0" m="1" x="24"/>
        <item sd="0" m="1" x="46"/>
        <item sd="0" m="1" x="34"/>
        <item sd="0" m="1" x="26"/>
        <item sd="0" m="1" x="39"/>
        <item sd="0" m="1" x="31"/>
        <item sd="0" m="1" x="42"/>
        <item sd="0" m="1" x="32"/>
        <item sd="0" m="1" x="27"/>
        <item sd="0" m="1" x="40"/>
        <item sd="0" m="1" x="30"/>
        <item sd="0" m="1" x="33"/>
        <item m="1" x="45"/>
        <item x="20"/>
        <item x="21"/>
        <item x="22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</items>
    </pivotField>
    <pivotField showAll="0"/>
    <pivotField dataField="1" showAll="0"/>
    <pivotField axis="axisCol" showAll="0">
      <items count="6">
        <item x="1"/>
        <item x="0"/>
        <item x="3"/>
        <item m="1" x="4"/>
        <item x="2"/>
        <item t="default"/>
      </items>
    </pivotField>
  </pivotFields>
  <rowFields count="1">
    <field x="0"/>
  </rowFields>
  <rowItems count="24"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 t="grand">
      <x/>
    </i>
  </rowItems>
  <colFields count="1">
    <field x="3"/>
  </colFields>
  <colItems count="5">
    <i>
      <x/>
    </i>
    <i>
      <x v="1"/>
    </i>
    <i>
      <x v="2"/>
    </i>
    <i>
      <x v="4"/>
    </i>
    <i t="grand">
      <x/>
    </i>
  </colItems>
  <dataFields count="1">
    <dataField name="Somme de Temps [période]" fld="2" baseField="0" baseItem="0"/>
  </dataFields>
  <formats count="3">
    <format dxfId="2">
      <pivotArea collapsedLevelsAreSubtotals="1" fieldPosition="0">
        <references count="1">
          <reference field="0" count="0"/>
        </references>
      </pivotArea>
    </format>
    <format dxfId="1">
      <pivotArea collapsedLevelsAreSubtotals="1" fieldPosition="0">
        <references count="1">
          <reference field="0" count="0"/>
        </references>
      </pivotArea>
    </format>
    <format dxfId="0">
      <pivotArea collapsedLevelsAreSubtotals="1" fieldPosition="0">
        <references count="1">
          <reference field="0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1"/>
  <dimension ref="A1:K43"/>
  <sheetViews>
    <sheetView tabSelected="1" workbookViewId="0">
      <selection activeCell="E3" sqref="E3"/>
    </sheetView>
  </sheetViews>
  <sheetFormatPr baseColWidth="10" defaultColWidth="9.140625" defaultRowHeight="15" x14ac:dyDescent="0.25"/>
  <cols>
    <col min="1" max="1" width="7.85546875" style="5" bestFit="1" customWidth="1"/>
    <col min="2" max="2" width="8.140625" style="13" bestFit="1" customWidth="1"/>
    <col min="3" max="3" width="17" style="10" bestFit="1" customWidth="1"/>
    <col min="4" max="4" width="15.42578125" style="5" bestFit="1" customWidth="1"/>
    <col min="5" max="5" width="66.140625" style="11" customWidth="1"/>
    <col min="6" max="6" width="68.85546875" style="11" customWidth="1"/>
    <col min="7" max="10" width="9.140625" style="8"/>
    <col min="11" max="11" width="19.85546875" style="8" customWidth="1"/>
    <col min="12" max="16384" width="9.140625" style="8"/>
  </cols>
  <sheetData>
    <row r="1" spans="1:11" ht="24" customHeight="1" x14ac:dyDescent="0.25">
      <c r="A1" s="4" t="s">
        <v>2</v>
      </c>
      <c r="B1" s="12" t="s">
        <v>11</v>
      </c>
      <c r="C1" s="6" t="s">
        <v>12</v>
      </c>
      <c r="D1" s="4" t="s">
        <v>3</v>
      </c>
      <c r="E1" s="7" t="s">
        <v>0</v>
      </c>
      <c r="F1" s="7" t="s">
        <v>1</v>
      </c>
    </row>
    <row r="2" spans="1:11" ht="30" x14ac:dyDescent="0.25">
      <c r="A2" s="15">
        <v>43440</v>
      </c>
      <c r="B2" s="16">
        <f t="shared" ref="B2" si="0">WEEKNUM(A2)</f>
        <v>49</v>
      </c>
      <c r="C2" s="17">
        <v>2</v>
      </c>
      <c r="D2" s="18" t="s">
        <v>6</v>
      </c>
      <c r="E2" s="14" t="s">
        <v>61</v>
      </c>
      <c r="F2" s="9"/>
      <c r="I2" s="22"/>
      <c r="J2" s="22"/>
      <c r="K2" s="23"/>
    </row>
    <row r="3" spans="1:11" x14ac:dyDescent="0.25">
      <c r="A3" s="15">
        <v>43440</v>
      </c>
      <c r="B3" s="16">
        <f t="shared" ref="B3" si="1">WEEKNUM(A3)</f>
        <v>49</v>
      </c>
      <c r="C3" s="17">
        <v>3</v>
      </c>
      <c r="D3" s="18" t="s">
        <v>8</v>
      </c>
      <c r="E3" s="14" t="s">
        <v>60</v>
      </c>
      <c r="F3" s="9"/>
      <c r="I3" s="22"/>
      <c r="J3" s="22"/>
      <c r="K3" s="23"/>
    </row>
    <row r="4" spans="1:11" x14ac:dyDescent="0.25">
      <c r="A4" s="15">
        <v>43438</v>
      </c>
      <c r="B4" s="16">
        <f t="shared" ref="B4" si="2">WEEKNUM(A4)</f>
        <v>49</v>
      </c>
      <c r="C4" s="17">
        <v>1</v>
      </c>
      <c r="D4" s="18" t="s">
        <v>8</v>
      </c>
      <c r="E4" s="14" t="s">
        <v>59</v>
      </c>
      <c r="F4" s="9"/>
      <c r="I4" s="22"/>
      <c r="J4" s="22"/>
      <c r="K4" s="23"/>
    </row>
    <row r="5" spans="1:11" ht="30" x14ac:dyDescent="0.25">
      <c r="A5" s="15">
        <v>43438</v>
      </c>
      <c r="B5" s="16">
        <f t="shared" ref="B5" si="3">WEEKNUM(A5)</f>
        <v>49</v>
      </c>
      <c r="C5" s="17">
        <v>2</v>
      </c>
      <c r="D5" s="18" t="s">
        <v>6</v>
      </c>
      <c r="E5" s="14" t="s">
        <v>57</v>
      </c>
      <c r="F5" s="9" t="s">
        <v>58</v>
      </c>
      <c r="I5" s="22"/>
      <c r="J5" s="22"/>
      <c r="K5" s="23"/>
    </row>
    <row r="6" spans="1:11" ht="30" x14ac:dyDescent="0.25">
      <c r="A6" s="15">
        <v>43433</v>
      </c>
      <c r="B6" s="16">
        <f t="shared" ref="B6" si="4">WEEKNUM(A6)</f>
        <v>48</v>
      </c>
      <c r="C6" s="17">
        <v>2</v>
      </c>
      <c r="D6" s="18" t="s">
        <v>6</v>
      </c>
      <c r="E6" s="14" t="s">
        <v>56</v>
      </c>
      <c r="F6" s="9"/>
      <c r="I6" s="22"/>
      <c r="J6" s="22"/>
      <c r="K6" s="23"/>
    </row>
    <row r="7" spans="1:11" x14ac:dyDescent="0.25">
      <c r="A7" s="15">
        <v>43433</v>
      </c>
      <c r="B7" s="16">
        <f t="shared" ref="B7" si="5">WEEKNUM(A7)</f>
        <v>48</v>
      </c>
      <c r="C7" s="17">
        <v>1</v>
      </c>
      <c r="D7" s="18" t="s">
        <v>6</v>
      </c>
      <c r="E7" s="14" t="s">
        <v>54</v>
      </c>
      <c r="F7" s="9" t="s">
        <v>55</v>
      </c>
      <c r="I7" s="22"/>
      <c r="J7" s="22"/>
      <c r="K7" s="23"/>
    </row>
    <row r="8" spans="1:11" ht="30" x14ac:dyDescent="0.25">
      <c r="A8" s="15">
        <v>43431</v>
      </c>
      <c r="B8" s="16">
        <f t="shared" ref="B8" si="6">WEEKNUM(A8)</f>
        <v>48</v>
      </c>
      <c r="C8" s="17">
        <v>1</v>
      </c>
      <c r="D8" s="18" t="s">
        <v>8</v>
      </c>
      <c r="E8" s="14" t="s">
        <v>53</v>
      </c>
      <c r="F8" s="9"/>
      <c r="I8" s="22"/>
      <c r="J8" s="22"/>
      <c r="K8" s="23"/>
    </row>
    <row r="9" spans="1:11" x14ac:dyDescent="0.25">
      <c r="A9" s="15">
        <v>43431</v>
      </c>
      <c r="B9" s="16">
        <f t="shared" ref="B9" si="7">WEEKNUM(A9)</f>
        <v>48</v>
      </c>
      <c r="C9" s="17">
        <v>2</v>
      </c>
      <c r="D9" s="18" t="s">
        <v>6</v>
      </c>
      <c r="E9" s="14" t="s">
        <v>52</v>
      </c>
      <c r="F9" s="9"/>
    </row>
    <row r="10" spans="1:11" x14ac:dyDescent="0.25">
      <c r="A10" s="15">
        <v>43426</v>
      </c>
      <c r="B10" s="16">
        <f t="shared" ref="B10" si="8">WEEKNUM(A10)</f>
        <v>47</v>
      </c>
      <c r="C10" s="17">
        <v>3</v>
      </c>
      <c r="D10" s="18" t="s">
        <v>9</v>
      </c>
      <c r="E10" s="14" t="s">
        <v>51</v>
      </c>
      <c r="F10" s="9"/>
      <c r="I10" s="22"/>
      <c r="J10" s="22"/>
      <c r="K10" s="23"/>
    </row>
    <row r="11" spans="1:11" ht="30" x14ac:dyDescent="0.25">
      <c r="A11" s="15">
        <v>43424</v>
      </c>
      <c r="B11" s="16">
        <f t="shared" ref="B11" si="9">WEEKNUM(A11)</f>
        <v>47</v>
      </c>
      <c r="C11" s="17">
        <v>3</v>
      </c>
      <c r="D11" s="18" t="s">
        <v>6</v>
      </c>
      <c r="E11" s="14" t="s">
        <v>50</v>
      </c>
      <c r="F11" s="9"/>
      <c r="I11" s="22"/>
      <c r="J11" s="22"/>
      <c r="K11" s="23"/>
    </row>
    <row r="12" spans="1:11" ht="30" x14ac:dyDescent="0.25">
      <c r="A12" s="15">
        <v>43420</v>
      </c>
      <c r="B12" s="16">
        <f t="shared" ref="B12" si="10">WEEKNUM(A12)</f>
        <v>46</v>
      </c>
      <c r="C12" s="17">
        <v>3</v>
      </c>
      <c r="D12" s="18" t="s">
        <v>6</v>
      </c>
      <c r="E12" s="14" t="s">
        <v>49</v>
      </c>
      <c r="F12" s="9"/>
      <c r="I12" s="22"/>
      <c r="J12" s="22"/>
      <c r="K12" s="23"/>
    </row>
    <row r="13" spans="1:11" x14ac:dyDescent="0.25">
      <c r="A13" s="15">
        <v>43419</v>
      </c>
      <c r="B13" s="16">
        <f t="shared" ref="B13" si="11">WEEKNUM(A13)</f>
        <v>46</v>
      </c>
      <c r="C13" s="17">
        <v>3</v>
      </c>
      <c r="D13" s="18" t="s">
        <v>6</v>
      </c>
      <c r="E13" s="14" t="s">
        <v>48</v>
      </c>
      <c r="F13" s="9"/>
      <c r="I13" s="22"/>
      <c r="J13" s="22"/>
      <c r="K13" s="23"/>
    </row>
    <row r="14" spans="1:11" ht="30" x14ac:dyDescent="0.25">
      <c r="A14" s="15">
        <v>43413</v>
      </c>
      <c r="B14" s="16">
        <f t="shared" ref="B14" si="12">WEEKNUM(A14)</f>
        <v>45</v>
      </c>
      <c r="C14" s="17">
        <v>3</v>
      </c>
      <c r="D14" s="18" t="s">
        <v>6</v>
      </c>
      <c r="E14" s="14" t="s">
        <v>47</v>
      </c>
      <c r="F14" s="9"/>
      <c r="I14" s="22"/>
      <c r="J14" s="22"/>
      <c r="K14" s="23"/>
    </row>
    <row r="15" spans="1:11" x14ac:dyDescent="0.25">
      <c r="A15" s="15">
        <v>43410</v>
      </c>
      <c r="B15" s="16">
        <f t="shared" ref="B15" si="13">WEEKNUM(A15)</f>
        <v>45</v>
      </c>
      <c r="C15" s="17">
        <v>1</v>
      </c>
      <c r="D15" s="18" t="s">
        <v>6</v>
      </c>
      <c r="E15" s="14" t="s">
        <v>46</v>
      </c>
      <c r="F15" s="9"/>
      <c r="I15" s="25"/>
      <c r="J15" s="25"/>
      <c r="K15" s="24"/>
    </row>
    <row r="16" spans="1:11" ht="30" x14ac:dyDescent="0.25">
      <c r="A16" s="15">
        <v>43410</v>
      </c>
      <c r="B16" s="16">
        <f t="shared" ref="B16" si="14">WEEKNUM(A16)</f>
        <v>45</v>
      </c>
      <c r="C16" s="17">
        <v>1</v>
      </c>
      <c r="D16" s="18" t="s">
        <v>8</v>
      </c>
      <c r="E16" s="14" t="s">
        <v>45</v>
      </c>
      <c r="F16" s="9"/>
      <c r="I16" s="22"/>
      <c r="J16" s="22"/>
      <c r="K16" s="23"/>
    </row>
    <row r="17" spans="1:11" x14ac:dyDescent="0.25">
      <c r="A17" s="15">
        <v>43410</v>
      </c>
      <c r="B17" s="16">
        <f t="shared" ref="B17" si="15">WEEKNUM(A17)</f>
        <v>45</v>
      </c>
      <c r="C17" s="17">
        <v>1</v>
      </c>
      <c r="D17" s="18" t="s">
        <v>9</v>
      </c>
      <c r="E17" s="14" t="s">
        <v>44</v>
      </c>
      <c r="F17" s="9"/>
      <c r="I17" s="22"/>
      <c r="J17" s="22"/>
      <c r="K17" s="23"/>
    </row>
    <row r="18" spans="1:11" x14ac:dyDescent="0.25">
      <c r="A18" s="15">
        <v>43406</v>
      </c>
      <c r="B18" s="16">
        <f t="shared" ref="B18" si="16">WEEKNUM(A18)</f>
        <v>44</v>
      </c>
      <c r="C18" s="17">
        <v>2</v>
      </c>
      <c r="D18" s="18" t="s">
        <v>6</v>
      </c>
      <c r="E18" s="14" t="s">
        <v>42</v>
      </c>
      <c r="F18" s="9" t="s">
        <v>43</v>
      </c>
      <c r="I18" s="22"/>
      <c r="J18" s="22"/>
      <c r="K18" s="23"/>
    </row>
    <row r="19" spans="1:11" ht="30" x14ac:dyDescent="0.25">
      <c r="A19" s="15">
        <v>43406</v>
      </c>
      <c r="B19" s="16">
        <f t="shared" ref="B19" si="17">WEEKNUM(A19)</f>
        <v>44</v>
      </c>
      <c r="C19" s="17">
        <v>1</v>
      </c>
      <c r="D19" s="18" t="s">
        <v>8</v>
      </c>
      <c r="E19" s="14" t="s">
        <v>41</v>
      </c>
      <c r="F19" s="9"/>
      <c r="I19" s="22"/>
      <c r="J19" s="22"/>
      <c r="K19" s="23"/>
    </row>
    <row r="20" spans="1:11" ht="30" x14ac:dyDescent="0.25">
      <c r="A20" s="15">
        <v>43404</v>
      </c>
      <c r="B20" s="16">
        <f t="shared" ref="B20" si="18">WEEKNUM(A20)</f>
        <v>44</v>
      </c>
      <c r="C20" s="17">
        <v>1</v>
      </c>
      <c r="D20" s="18" t="s">
        <v>6</v>
      </c>
      <c r="E20" s="14" t="s">
        <v>40</v>
      </c>
      <c r="F20" s="9"/>
      <c r="I20" s="22"/>
      <c r="J20" s="22"/>
      <c r="K20" s="23"/>
    </row>
    <row r="21" spans="1:11" x14ac:dyDescent="0.25">
      <c r="A21" s="15">
        <v>43404</v>
      </c>
      <c r="B21" s="16">
        <f t="shared" ref="B21" si="19">WEEKNUM(A21)</f>
        <v>44</v>
      </c>
      <c r="C21" s="17">
        <v>1</v>
      </c>
      <c r="D21" s="18" t="s">
        <v>8</v>
      </c>
      <c r="E21" s="14" t="s">
        <v>39</v>
      </c>
      <c r="F21" s="9"/>
      <c r="I21" s="22"/>
      <c r="J21" s="22"/>
      <c r="K21" s="23"/>
    </row>
    <row r="22" spans="1:11" x14ac:dyDescent="0.25">
      <c r="A22" s="15">
        <v>43403</v>
      </c>
      <c r="B22" s="16">
        <f t="shared" ref="B22" si="20">WEEKNUM(A22)</f>
        <v>44</v>
      </c>
      <c r="C22" s="17">
        <v>3</v>
      </c>
      <c r="D22" s="18" t="s">
        <v>9</v>
      </c>
      <c r="E22" s="14" t="s">
        <v>38</v>
      </c>
      <c r="F22" s="9"/>
      <c r="I22" s="22"/>
      <c r="J22" s="22"/>
      <c r="K22" s="23"/>
    </row>
    <row r="23" spans="1:11" ht="30" x14ac:dyDescent="0.25">
      <c r="A23" s="15">
        <v>43385</v>
      </c>
      <c r="B23" s="16">
        <f t="shared" ref="B23" si="21">WEEKNUM(A23)</f>
        <v>41</v>
      </c>
      <c r="C23" s="17">
        <v>3</v>
      </c>
      <c r="D23" s="18" t="s">
        <v>6</v>
      </c>
      <c r="E23" s="14" t="s">
        <v>37</v>
      </c>
      <c r="F23" s="9"/>
      <c r="I23" s="22"/>
      <c r="J23" s="22"/>
      <c r="K23" s="23"/>
    </row>
    <row r="24" spans="1:11" x14ac:dyDescent="0.25">
      <c r="A24" s="15">
        <v>43382</v>
      </c>
      <c r="B24" s="16">
        <f t="shared" ref="B24" si="22">WEEKNUM(A24)</f>
        <v>41</v>
      </c>
      <c r="C24" s="17">
        <v>3</v>
      </c>
      <c r="D24" s="18" t="s">
        <v>9</v>
      </c>
      <c r="E24" s="14" t="s">
        <v>36</v>
      </c>
      <c r="F24" s="9"/>
      <c r="I24" s="22"/>
      <c r="J24" s="22"/>
      <c r="K24" s="23"/>
    </row>
    <row r="25" spans="1:11" ht="30" x14ac:dyDescent="0.25">
      <c r="A25" s="15">
        <v>43378</v>
      </c>
      <c r="B25" s="16">
        <f t="shared" ref="B25" si="23">WEEKNUM(A25)</f>
        <v>40</v>
      </c>
      <c r="C25" s="17">
        <v>1</v>
      </c>
      <c r="D25" s="18" t="s">
        <v>8</v>
      </c>
      <c r="E25" s="14" t="s">
        <v>35</v>
      </c>
      <c r="F25" s="9"/>
      <c r="I25" s="22"/>
      <c r="J25" s="22"/>
      <c r="K25" s="23"/>
    </row>
    <row r="26" spans="1:11" ht="45" x14ac:dyDescent="0.25">
      <c r="A26" s="15">
        <v>43378</v>
      </c>
      <c r="B26" s="16">
        <f t="shared" ref="B26" si="24">WEEKNUM(A26)</f>
        <v>40</v>
      </c>
      <c r="C26" s="17">
        <v>2</v>
      </c>
      <c r="D26" s="18" t="s">
        <v>6</v>
      </c>
      <c r="E26" s="14" t="s">
        <v>34</v>
      </c>
      <c r="F26" s="9"/>
    </row>
    <row r="27" spans="1:11" ht="30" x14ac:dyDescent="0.25">
      <c r="A27" s="15">
        <v>43375</v>
      </c>
      <c r="B27" s="16">
        <f t="shared" ref="B27" si="25">WEEKNUM(A27)</f>
        <v>40</v>
      </c>
      <c r="C27" s="17">
        <v>2</v>
      </c>
      <c r="D27" s="18" t="s">
        <v>6</v>
      </c>
      <c r="E27" s="14" t="s">
        <v>33</v>
      </c>
      <c r="F27" s="9"/>
    </row>
    <row r="28" spans="1:11" ht="30" x14ac:dyDescent="0.25">
      <c r="A28" s="15">
        <v>43375</v>
      </c>
      <c r="B28" s="16">
        <f t="shared" ref="B28" si="26">WEEKNUM(A28)</f>
        <v>40</v>
      </c>
      <c r="C28" s="17">
        <v>1</v>
      </c>
      <c r="D28" s="18" t="s">
        <v>8</v>
      </c>
      <c r="E28" s="14" t="s">
        <v>32</v>
      </c>
      <c r="F28" s="9"/>
    </row>
    <row r="29" spans="1:11" x14ac:dyDescent="0.25">
      <c r="A29" s="15">
        <v>43371</v>
      </c>
      <c r="B29" s="16">
        <f t="shared" ref="B29" si="27">WEEKNUM(A29)</f>
        <v>39</v>
      </c>
      <c r="C29" s="17">
        <v>3</v>
      </c>
      <c r="D29" s="18" t="s">
        <v>9</v>
      </c>
      <c r="E29" s="14" t="s">
        <v>31</v>
      </c>
      <c r="F29" s="9"/>
    </row>
    <row r="30" spans="1:11" ht="30" x14ac:dyDescent="0.25">
      <c r="A30" s="15">
        <v>43368</v>
      </c>
      <c r="B30" s="16">
        <f t="shared" ref="B30" si="28">WEEKNUM(A30)</f>
        <v>39</v>
      </c>
      <c r="C30" s="17">
        <v>2</v>
      </c>
      <c r="D30" s="18" t="s">
        <v>6</v>
      </c>
      <c r="E30" s="14" t="s">
        <v>29</v>
      </c>
      <c r="F30" s="9" t="s">
        <v>30</v>
      </c>
    </row>
    <row r="31" spans="1:11" x14ac:dyDescent="0.25">
      <c r="A31" s="15">
        <v>43368</v>
      </c>
      <c r="B31" s="16">
        <f t="shared" ref="B31" si="29">WEEKNUM(A31)</f>
        <v>39</v>
      </c>
      <c r="C31" s="17">
        <v>1</v>
      </c>
      <c r="D31" s="18" t="s">
        <v>5</v>
      </c>
      <c r="E31" s="14" t="s">
        <v>28</v>
      </c>
      <c r="F31" s="9"/>
    </row>
    <row r="32" spans="1:11" x14ac:dyDescent="0.25">
      <c r="A32" s="15">
        <v>43357</v>
      </c>
      <c r="B32" s="16">
        <f t="shared" ref="B32" si="30">WEEKNUM(A32)</f>
        <v>37</v>
      </c>
      <c r="C32" s="17">
        <v>2</v>
      </c>
      <c r="D32" s="18" t="s">
        <v>6</v>
      </c>
      <c r="E32" s="14" t="s">
        <v>27</v>
      </c>
      <c r="F32" s="9"/>
    </row>
    <row r="33" spans="1:6" ht="30" x14ac:dyDescent="0.25">
      <c r="A33" s="15">
        <v>43357</v>
      </c>
      <c r="B33" s="16">
        <f t="shared" ref="B33" si="31">WEEKNUM(A33)</f>
        <v>37</v>
      </c>
      <c r="C33" s="17">
        <v>1</v>
      </c>
      <c r="D33" s="18" t="s">
        <v>8</v>
      </c>
      <c r="E33" s="14" t="s">
        <v>26</v>
      </c>
      <c r="F33" s="9"/>
    </row>
    <row r="34" spans="1:6" ht="30" x14ac:dyDescent="0.25">
      <c r="A34" s="15">
        <v>43354</v>
      </c>
      <c r="B34" s="16">
        <f t="shared" ref="B34" si="32">WEEKNUM(A34)</f>
        <v>37</v>
      </c>
      <c r="C34" s="17">
        <v>1</v>
      </c>
      <c r="D34" s="18" t="s">
        <v>8</v>
      </c>
      <c r="E34" s="14" t="s">
        <v>25</v>
      </c>
      <c r="F34" s="9"/>
    </row>
    <row r="35" spans="1:6" ht="30" x14ac:dyDescent="0.25">
      <c r="A35" s="15">
        <v>43354</v>
      </c>
      <c r="B35" s="16">
        <f t="shared" ref="B35" si="33">WEEKNUM(A35)</f>
        <v>37</v>
      </c>
      <c r="C35" s="17">
        <v>1</v>
      </c>
      <c r="D35" s="18" t="s">
        <v>5</v>
      </c>
      <c r="E35" s="14" t="s">
        <v>24</v>
      </c>
      <c r="F35" s="9"/>
    </row>
    <row r="36" spans="1:6" x14ac:dyDescent="0.25">
      <c r="A36" s="15">
        <v>43354</v>
      </c>
      <c r="B36" s="16">
        <f t="shared" ref="B36" si="34">WEEKNUM(A36)</f>
        <v>37</v>
      </c>
      <c r="C36" s="17">
        <v>1</v>
      </c>
      <c r="D36" s="18" t="s">
        <v>9</v>
      </c>
      <c r="E36" s="14" t="s">
        <v>23</v>
      </c>
      <c r="F36" s="9"/>
    </row>
    <row r="37" spans="1:6" x14ac:dyDescent="0.25">
      <c r="A37" s="15">
        <v>43350</v>
      </c>
      <c r="B37" s="16">
        <f t="shared" ref="B37" si="35">WEEKNUM(A37)</f>
        <v>36</v>
      </c>
      <c r="C37" s="17">
        <v>2</v>
      </c>
      <c r="D37" s="18" t="s">
        <v>8</v>
      </c>
      <c r="E37" s="14" t="s">
        <v>21</v>
      </c>
      <c r="F37" s="9"/>
    </row>
    <row r="38" spans="1:6" x14ac:dyDescent="0.25">
      <c r="A38" s="15">
        <v>43350</v>
      </c>
      <c r="B38" s="16">
        <f t="shared" ref="B38" si="36">WEEKNUM(A38)</f>
        <v>36</v>
      </c>
      <c r="C38" s="17">
        <v>1</v>
      </c>
      <c r="D38" s="18" t="s">
        <v>8</v>
      </c>
      <c r="E38" s="14" t="s">
        <v>18</v>
      </c>
      <c r="F38" s="9" t="s">
        <v>19</v>
      </c>
    </row>
    <row r="39" spans="1:6" x14ac:dyDescent="0.25">
      <c r="A39" s="15">
        <v>43347</v>
      </c>
      <c r="B39" s="16">
        <f t="shared" ref="B39" si="37">WEEKNUM(A39)</f>
        <v>36</v>
      </c>
      <c r="C39" s="17">
        <v>2</v>
      </c>
      <c r="D39" s="18" t="s">
        <v>8</v>
      </c>
      <c r="E39" s="14" t="s">
        <v>17</v>
      </c>
      <c r="F39" s="9"/>
    </row>
    <row r="40" spans="1:6" ht="30" x14ac:dyDescent="0.25">
      <c r="A40" s="15">
        <v>43347</v>
      </c>
      <c r="B40" s="16">
        <f t="shared" ref="B40" si="38">WEEKNUM(A40)</f>
        <v>36</v>
      </c>
      <c r="C40" s="17">
        <v>1</v>
      </c>
      <c r="D40" s="18" t="s">
        <v>5</v>
      </c>
      <c r="E40" s="14" t="s">
        <v>20</v>
      </c>
      <c r="F40" s="9"/>
    </row>
    <row r="41" spans="1:6" x14ac:dyDescent="0.25">
      <c r="A41" s="15">
        <v>43343</v>
      </c>
      <c r="B41" s="16">
        <f t="shared" ref="B41" si="39">WEEKNUM(A41)</f>
        <v>35</v>
      </c>
      <c r="C41" s="17">
        <v>1</v>
      </c>
      <c r="D41" s="18" t="s">
        <v>5</v>
      </c>
      <c r="E41" s="14" t="s">
        <v>16</v>
      </c>
      <c r="F41" s="9"/>
    </row>
    <row r="42" spans="1:6" ht="30" x14ac:dyDescent="0.25">
      <c r="A42" s="15">
        <v>43343</v>
      </c>
      <c r="B42" s="16">
        <f t="shared" ref="B42" si="40">WEEKNUM(A42)</f>
        <v>35</v>
      </c>
      <c r="C42" s="17">
        <v>1</v>
      </c>
      <c r="D42" s="18" t="s">
        <v>5</v>
      </c>
      <c r="E42" s="14" t="s">
        <v>13</v>
      </c>
      <c r="F42" s="9" t="s">
        <v>14</v>
      </c>
    </row>
    <row r="43" spans="1:6" x14ac:dyDescent="0.25">
      <c r="A43" s="15">
        <v>43343</v>
      </c>
      <c r="B43" s="16">
        <f t="shared" ref="B43" si="41">WEEKNUM(A43)</f>
        <v>35</v>
      </c>
      <c r="C43" s="17">
        <v>1</v>
      </c>
      <c r="D43" s="18" t="s">
        <v>5</v>
      </c>
      <c r="E43" s="14" t="s">
        <v>15</v>
      </c>
      <c r="F43" s="9"/>
    </row>
  </sheetData>
  <sheetProtection selectLockedCells="1"/>
  <mergeCells count="1">
    <mergeCell ref="I15:J15"/>
  </mergeCells>
  <pageMargins left="0.7" right="0.7" top="0.75" bottom="0.75" header="0.3" footer="0.3"/>
  <pageSetup paperSize="15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4</xdr:col>
                    <xdr:colOff>47625</xdr:colOff>
                    <xdr:row>0</xdr:row>
                    <xdr:rowOff>28575</xdr:rowOff>
                  </from>
                  <to>
                    <xdr:col>4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Paramètres!$A$2:$A$6</xm:f>
          </x14:formula1>
          <xm:sqref>D2:D43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2"/>
  <dimension ref="A3:F28"/>
  <sheetViews>
    <sheetView workbookViewId="0">
      <selection activeCell="B5" sqref="B5"/>
    </sheetView>
  </sheetViews>
  <sheetFormatPr baseColWidth="10" defaultRowHeight="15" x14ac:dyDescent="0.25"/>
  <cols>
    <col min="1" max="1" width="25.85546875" customWidth="1"/>
    <col min="2" max="2" width="14.7109375" customWidth="1"/>
    <col min="3" max="3" width="15.42578125" bestFit="1" customWidth="1"/>
    <col min="4" max="4" width="8" bestFit="1" customWidth="1"/>
    <col min="5" max="5" width="8.5703125" bestFit="1" customWidth="1"/>
    <col min="6" max="6" width="12.57031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6" x14ac:dyDescent="0.25">
      <c r="A3" s="19" t="s">
        <v>22</v>
      </c>
    </row>
    <row r="4" spans="1:6" x14ac:dyDescent="0.25">
      <c r="B4" t="s">
        <v>8</v>
      </c>
      <c r="C4" t="s">
        <v>6</v>
      </c>
      <c r="D4" t="s">
        <v>5</v>
      </c>
      <c r="E4" t="s">
        <v>9</v>
      </c>
      <c r="F4" t="s">
        <v>10</v>
      </c>
    </row>
    <row r="5" spans="1:6" x14ac:dyDescent="0.25">
      <c r="A5" s="3">
        <v>43350</v>
      </c>
      <c r="B5" s="21">
        <v>3</v>
      </c>
      <c r="C5" s="21"/>
      <c r="D5" s="21"/>
      <c r="E5" s="21"/>
      <c r="F5" s="21">
        <v>3</v>
      </c>
    </row>
    <row r="6" spans="1:6" x14ac:dyDescent="0.25">
      <c r="A6" s="3">
        <v>43347</v>
      </c>
      <c r="B6" s="21">
        <v>2</v>
      </c>
      <c r="C6" s="21"/>
      <c r="D6" s="21">
        <v>1</v>
      </c>
      <c r="E6" s="21"/>
      <c r="F6" s="21">
        <v>3</v>
      </c>
    </row>
    <row r="7" spans="1:6" x14ac:dyDescent="0.25">
      <c r="A7" s="3">
        <v>43343</v>
      </c>
      <c r="B7" s="21"/>
      <c r="C7" s="21"/>
      <c r="D7" s="21">
        <v>3</v>
      </c>
      <c r="E7" s="21"/>
      <c r="F7" s="21">
        <v>3</v>
      </c>
    </row>
    <row r="8" spans="1:6" x14ac:dyDescent="0.25">
      <c r="A8" s="3">
        <v>43438</v>
      </c>
      <c r="B8" s="21"/>
      <c r="C8" s="21">
        <v>2</v>
      </c>
      <c r="D8" s="21"/>
      <c r="E8" s="21"/>
      <c r="F8" s="21">
        <v>2</v>
      </c>
    </row>
    <row r="9" spans="1:6" x14ac:dyDescent="0.25">
      <c r="A9" s="3">
        <v>43433</v>
      </c>
      <c r="B9" s="21"/>
      <c r="C9" s="21">
        <v>3</v>
      </c>
      <c r="D9" s="21"/>
      <c r="E9" s="21"/>
      <c r="F9" s="21">
        <v>3</v>
      </c>
    </row>
    <row r="10" spans="1:6" x14ac:dyDescent="0.25">
      <c r="A10" s="3">
        <v>43431</v>
      </c>
      <c r="B10" s="21">
        <v>1</v>
      </c>
      <c r="C10" s="21">
        <v>2</v>
      </c>
      <c r="D10" s="21"/>
      <c r="E10" s="21"/>
      <c r="F10" s="21">
        <v>3</v>
      </c>
    </row>
    <row r="11" spans="1:6" x14ac:dyDescent="0.25">
      <c r="A11" s="3">
        <v>43426</v>
      </c>
      <c r="B11" s="21"/>
      <c r="C11" s="21"/>
      <c r="D11" s="21"/>
      <c r="E11" s="21">
        <v>3</v>
      </c>
      <c r="F11" s="21">
        <v>3</v>
      </c>
    </row>
    <row r="12" spans="1:6" x14ac:dyDescent="0.25">
      <c r="A12" s="3">
        <v>43424</v>
      </c>
      <c r="B12" s="21"/>
      <c r="C12" s="21">
        <v>3</v>
      </c>
      <c r="D12" s="21"/>
      <c r="E12" s="21"/>
      <c r="F12" s="21">
        <v>3</v>
      </c>
    </row>
    <row r="13" spans="1:6" x14ac:dyDescent="0.25">
      <c r="A13" s="3">
        <v>43420</v>
      </c>
      <c r="B13" s="21"/>
      <c r="C13" s="21">
        <v>3</v>
      </c>
      <c r="D13" s="21"/>
      <c r="E13" s="21"/>
      <c r="F13" s="21">
        <v>3</v>
      </c>
    </row>
    <row r="14" spans="1:6" x14ac:dyDescent="0.25">
      <c r="A14" s="3">
        <v>43419</v>
      </c>
      <c r="B14" s="21"/>
      <c r="C14" s="21">
        <v>3</v>
      </c>
      <c r="D14" s="21"/>
      <c r="E14" s="21"/>
      <c r="F14" s="21">
        <v>3</v>
      </c>
    </row>
    <row r="15" spans="1:6" x14ac:dyDescent="0.25">
      <c r="A15" s="3">
        <v>43413</v>
      </c>
      <c r="B15" s="21"/>
      <c r="C15" s="21">
        <v>3</v>
      </c>
      <c r="D15" s="21"/>
      <c r="E15" s="21"/>
      <c r="F15" s="21">
        <v>3</v>
      </c>
    </row>
    <row r="16" spans="1:6" x14ac:dyDescent="0.25">
      <c r="A16" s="3">
        <v>43410</v>
      </c>
      <c r="B16" s="21">
        <v>1</v>
      </c>
      <c r="C16" s="21">
        <v>1</v>
      </c>
      <c r="D16" s="21"/>
      <c r="E16" s="21">
        <v>1</v>
      </c>
      <c r="F16" s="21">
        <v>3</v>
      </c>
    </row>
    <row r="17" spans="1:6" x14ac:dyDescent="0.25">
      <c r="A17" s="3">
        <v>43406</v>
      </c>
      <c r="B17" s="21">
        <v>1</v>
      </c>
      <c r="C17" s="21">
        <v>2</v>
      </c>
      <c r="D17" s="21"/>
      <c r="E17" s="21"/>
      <c r="F17" s="21">
        <v>3</v>
      </c>
    </row>
    <row r="18" spans="1:6" x14ac:dyDescent="0.25">
      <c r="A18" s="3">
        <v>43404</v>
      </c>
      <c r="B18" s="21">
        <v>1</v>
      </c>
      <c r="C18" s="21">
        <v>1</v>
      </c>
      <c r="D18" s="21"/>
      <c r="E18" s="21"/>
      <c r="F18" s="21">
        <v>2</v>
      </c>
    </row>
    <row r="19" spans="1:6" x14ac:dyDescent="0.25">
      <c r="A19" s="3">
        <v>43403</v>
      </c>
      <c r="B19" s="21"/>
      <c r="C19" s="21"/>
      <c r="D19" s="21"/>
      <c r="E19" s="21">
        <v>3</v>
      </c>
      <c r="F19" s="21">
        <v>3</v>
      </c>
    </row>
    <row r="20" spans="1:6" x14ac:dyDescent="0.25">
      <c r="A20" s="3">
        <v>43385</v>
      </c>
      <c r="B20" s="21"/>
      <c r="C20" s="21">
        <v>3</v>
      </c>
      <c r="D20" s="21"/>
      <c r="E20" s="21"/>
      <c r="F20" s="21">
        <v>3</v>
      </c>
    </row>
    <row r="21" spans="1:6" x14ac:dyDescent="0.25">
      <c r="A21" s="3">
        <v>43382</v>
      </c>
      <c r="B21" s="21"/>
      <c r="C21" s="21"/>
      <c r="D21" s="21"/>
      <c r="E21" s="21">
        <v>3</v>
      </c>
      <c r="F21" s="21">
        <v>3</v>
      </c>
    </row>
    <row r="22" spans="1:6" x14ac:dyDescent="0.25">
      <c r="A22" s="3">
        <v>43378</v>
      </c>
      <c r="B22" s="21">
        <v>1</v>
      </c>
      <c r="C22" s="21">
        <v>2</v>
      </c>
      <c r="D22" s="21"/>
      <c r="E22" s="21"/>
      <c r="F22" s="21">
        <v>3</v>
      </c>
    </row>
    <row r="23" spans="1:6" x14ac:dyDescent="0.25">
      <c r="A23" s="3">
        <v>43375</v>
      </c>
      <c r="B23" s="21">
        <v>1</v>
      </c>
      <c r="C23" s="21">
        <v>2</v>
      </c>
      <c r="D23" s="21"/>
      <c r="E23" s="21"/>
      <c r="F23" s="21">
        <v>3</v>
      </c>
    </row>
    <row r="24" spans="1:6" x14ac:dyDescent="0.25">
      <c r="A24" s="3">
        <v>43371</v>
      </c>
      <c r="B24" s="21"/>
      <c r="C24" s="21"/>
      <c r="D24" s="21"/>
      <c r="E24" s="21">
        <v>3</v>
      </c>
      <c r="F24" s="21">
        <v>3</v>
      </c>
    </row>
    <row r="25" spans="1:6" x14ac:dyDescent="0.25">
      <c r="A25" s="3">
        <v>43368</v>
      </c>
      <c r="B25" s="21"/>
      <c r="C25" s="21">
        <v>2</v>
      </c>
      <c r="D25" s="21">
        <v>1</v>
      </c>
      <c r="E25" s="21"/>
      <c r="F25" s="21">
        <v>3</v>
      </c>
    </row>
    <row r="26" spans="1:6" x14ac:dyDescent="0.25">
      <c r="A26" s="3">
        <v>43357</v>
      </c>
      <c r="B26" s="21">
        <v>1</v>
      </c>
      <c r="C26" s="21">
        <v>2</v>
      </c>
      <c r="D26" s="21"/>
      <c r="E26" s="21"/>
      <c r="F26" s="21">
        <v>3</v>
      </c>
    </row>
    <row r="27" spans="1:6" x14ac:dyDescent="0.25">
      <c r="A27" s="3">
        <v>43354</v>
      </c>
      <c r="B27" s="21">
        <v>1</v>
      </c>
      <c r="C27" s="21"/>
      <c r="D27" s="21">
        <v>1</v>
      </c>
      <c r="E27" s="21">
        <v>1</v>
      </c>
      <c r="F27" s="21">
        <v>3</v>
      </c>
    </row>
    <row r="28" spans="1:6" x14ac:dyDescent="0.25">
      <c r="A28" s="3" t="s">
        <v>10</v>
      </c>
      <c r="B28" s="20">
        <v>13</v>
      </c>
      <c r="C28" s="20">
        <v>34</v>
      </c>
      <c r="D28" s="20">
        <v>6</v>
      </c>
      <c r="E28" s="20">
        <v>14</v>
      </c>
      <c r="F28" s="20">
        <v>67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3"/>
  <dimension ref="A1:A6"/>
  <sheetViews>
    <sheetView workbookViewId="0">
      <selection activeCell="A3" sqref="A3"/>
    </sheetView>
  </sheetViews>
  <sheetFormatPr baseColWidth="10" defaultRowHeight="15" x14ac:dyDescent="0.25"/>
  <cols>
    <col min="1" max="1" width="13.140625" bestFit="1" customWidth="1"/>
  </cols>
  <sheetData>
    <row r="1" spans="1:1" x14ac:dyDescent="0.25">
      <c r="A1" s="2" t="s">
        <v>4</v>
      </c>
    </row>
    <row r="2" spans="1:1" x14ac:dyDescent="0.25">
      <c r="A2" s="1" t="s">
        <v>5</v>
      </c>
    </row>
    <row r="3" spans="1:1" x14ac:dyDescent="0.25">
      <c r="A3" s="1" t="s">
        <v>6</v>
      </c>
    </row>
    <row r="4" spans="1:1" x14ac:dyDescent="0.25">
      <c r="A4" s="1" t="s">
        <v>7</v>
      </c>
    </row>
    <row r="5" spans="1:1" x14ac:dyDescent="0.25">
      <c r="A5" s="1" t="s">
        <v>8</v>
      </c>
    </row>
    <row r="6" spans="1:1" x14ac:dyDescent="0.25">
      <c r="A6" s="1" t="s">
        <v>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Journal</vt:lpstr>
      <vt:lpstr>Totaux</vt:lpstr>
      <vt:lpstr>Paramètres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2018-12-06T13:50:45Z</dcterms:modified>
</cp:coreProperties>
</file>