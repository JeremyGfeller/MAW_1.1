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 l="1"/>
  <c r="B5" i="1"/>
  <c r="B6" i="1"/>
  <c r="B7" i="1" l="1"/>
  <c r="B8" i="1"/>
  <c r="B9" i="1" l="1"/>
  <c r="B10" i="1"/>
  <c r="B11" i="1" l="1"/>
  <c r="B12" i="1"/>
  <c r="B13" i="1" l="1"/>
  <c r="B14" i="1" l="1"/>
  <c r="B15" i="1"/>
  <c r="B16" i="1" l="1"/>
  <c r="B17" i="1"/>
  <c r="B18" i="1" l="1"/>
  <c r="B19" i="1"/>
  <c r="B20" i="1"/>
  <c r="B21" i="1" l="1"/>
  <c r="B22" i="1"/>
  <c r="B23" i="1"/>
  <c r="B24" i="1"/>
  <c r="B25" i="1"/>
  <c r="B26" i="1"/>
  <c r="B27" i="1" l="1"/>
  <c r="K10" i="1" l="1"/>
</calcChain>
</file>

<file path=xl/sharedStrings.xml><?xml version="1.0" encoding="utf-8"?>
<sst xmlns="http://schemas.openxmlformats.org/spreadsheetml/2006/main" count="82" uniqueCount="51">
  <si>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</si>
  <si>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</si>
  <si>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</si>
  <si>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</si>
  <si>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</si>
  <si>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</si>
  <si>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</si>
  <si>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</si>
  <si>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</si>
  <si>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</si>
  <si>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</si>
  <si>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</si>
  <si>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</si>
  <si>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</si>
  <si>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</si>
  <si>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</si>
  <si>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</si>
  <si>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</si>
  <si>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</si>
  <si>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</si>
  <si>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</si>
  <si>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</si>
  <si>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</si>
  <si>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</si>
  <si>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</si>
  <si>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</si>
  <si>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</si>
  <si>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</si>
  <si>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</si>
  <si>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</si>
  <si>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</si>
  <si>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</si>
  <si>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intiale, ajout de la page de titre.</t>
  </si>
  <si>
    <t>Finalisation du cahier des charges que j'ai ensuite donné à Alexandre pour qu'il l'envoie.</t>
  </si>
  <si>
    <t xml:space="preserve">Commencement de l'application sur Visual Studio </t>
  </si>
  <si>
    <t xml:space="preserve">Feed-back du camp avec M. Chevillat </t>
  </si>
  <si>
    <t xml:space="preserve">J'ai continué d'implémenter l'application </t>
  </si>
  <si>
    <t>Afficher les dossiers et fichiers d'un dossier. Je n'arrive pas à afficher l'image "dossier" pour les dossiers.</t>
  </si>
  <si>
    <t>Absent pour maladie</t>
  </si>
  <si>
    <t>Ajout des use cases dans la documentation. Ajout aussi ajouter dans un paragraphe les risques techniques</t>
  </si>
  <si>
    <t>Continuer à faire l'application, je me suis aidé de certains tutos sur youtube pour voir quelle technologie de C# on allait utiliser</t>
  </si>
  <si>
    <t>Changement de l'application une première fois, utilisation de webbrowser. Après quelques réflexions nous avons abandonné l'idée d'utiliser cette technologie. On est alors revenu en arrière.</t>
  </si>
  <si>
    <t>Ajout des maquettes dans le document, renseigné le dossier de réalisation avec tout ce qu'on utilise pour le projet.</t>
  </si>
  <si>
    <t>Journée d'information à l'armée</t>
  </si>
  <si>
    <t xml:space="preserve">Travail avec Alexandre pour faire le tri des fichiers par auteurs et par date de création du fichier </t>
  </si>
  <si>
    <t>Inversion des périodes avec la gestion de projet par M. Chevillat</t>
  </si>
  <si>
    <t>Ajout de quelques chapitres dans la documentation du projet.</t>
  </si>
  <si>
    <t>J'ai aidé Alexandre à faire des tests pour afficher les données dans notre application.</t>
  </si>
  <si>
    <t xml:space="preserve">Correction d'orthographes dans la documentation et mis à jour de certains chapitres </t>
  </si>
  <si>
    <t xml:space="preserve">Aide à Alexandre pour la lecture des fichiers d'Office </t>
  </si>
  <si>
    <t xml:space="preserve">On arrive à lire le contenu dans un fichier word et un document texte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</si>
</sst>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0" xfId="0" pivotButton="1"/>
    <xf numFmtId="0" fontId="0" fillId="0" borderId="0" xfId="0" applyNumberFormat="1"/>
    <xf numFmtId="0" fontId="5" fillId="0" borderId="0" xfId="0" applyNumberFormat="1" applyFont="1" applyFill="1"/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282291668" createdVersion="4" refreshedVersion="6" minRefreshableVersion="3" recordCount="7">
  <cacheSource type="worksheet">
    <worksheetSource ref="A1:D27" sheet="Journal"/>
  </cacheSource>
  <cacheFields count="4">
    <cacheField name="Jour" numFmtId="16">
      <sharedItems containsSemiMixedTypes="0" containsNonDate="0" containsDate="1" containsString="0" minDate="2018-01-01T00:00:00" maxDate="2018-09-09T00:00:00" count="28"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0">
      <sharedItems containsSemiMixedTypes="0" containsString="0" containsNumber="1" minValue="0.5" maxValue="5" count="9">
        <n v="2"/>
        <n v="1"/>
        <n v="5" u="1"/>
        <n v="0.75" u="1"/>
        <n v="2.5" u="1"/>
        <n v="3" u="1"/>
        <n v="3.5" u="1"/>
        <n v="0.5" u="1"/>
        <n v="1.5" u="1"/>
      </sharedItems>
    </cacheField>
    <cacheField name="Type" numFmtId="0">
      <sharedItems count="4">
        <s v="Documentation"/>
        <s v="Analyse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n v="36"/>
    <x v="0"/>
    <x v="0"/>
  </r>
  <r>
    <x v="0"/>
    <n v="36"/>
    <x v="1"/>
    <x v="0"/>
  </r>
  <r>
    <x v="1"/>
    <n v="36"/>
    <x v="0"/>
    <x v="0"/>
  </r>
  <r>
    <x v="1"/>
    <n v="36"/>
    <x v="1"/>
    <x v="1"/>
  </r>
  <r>
    <x v="2"/>
    <n v="35"/>
    <x v="1"/>
    <x v="1"/>
  </r>
  <r>
    <x v="2"/>
    <n v="35"/>
    <x v="1"/>
    <x v="1"/>
  </r>
  <r>
    <x v="2"/>
    <n v="35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D8" firstHeaderRow="1" firstDataRow="2" firstDataCol="1"/>
  <pivotFields count="4">
    <pivotField axis="axisRow" numFmtId="16" showAll="0" defaultSubtotal="0">
      <items count="28">
        <item sd="0" m="1" x="23"/>
        <item sd="0" m="1" x="16"/>
        <item sd="0" m="1" x="9"/>
        <item sd="0" m="1" x="24"/>
        <item sd="0" m="1" x="5"/>
        <item sd="0" m="1" x="18"/>
        <item sd="0" m="1" x="27"/>
        <item sd="0" m="1" x="15"/>
        <item sd="0" m="1" x="8"/>
        <item sd="0" m="1" x="21"/>
        <item sd="0" m="1" x="3"/>
        <item sd="0" m="1" x="17"/>
        <item sd="0" m="1" x="4"/>
        <item sd="0" m="1" x="26"/>
        <item sd="0" m="1" x="14"/>
        <item sd="0" m="1" x="6"/>
        <item sd="0" m="1" x="19"/>
        <item sd="0" m="1" x="11"/>
        <item sd="0" m="1" x="22"/>
        <item sd="0" m="1" x="12"/>
        <item sd="0" m="1" x="7"/>
        <item sd="0" m="1" x="20"/>
        <item sd="0" m="1" x="10"/>
        <item sd="0" m="1" x="13"/>
        <item m="1" x="25"/>
        <item x="0"/>
        <item x="1"/>
        <item x="2"/>
      </items>
    </pivotField>
    <pivotField showAll="0"/>
    <pivotField dataField="1" showAll="0">
      <items count="10">
        <item m="1" x="7"/>
        <item m="1" x="3"/>
        <item x="1"/>
        <item m="1" x="8"/>
        <item x="0"/>
        <item m="1" x="4"/>
        <item m="1" x="5"/>
        <item m="1" x="6"/>
        <item m="1" x="2"/>
        <item t="default"/>
      </items>
    </pivotField>
    <pivotField axis="axisCol" showAll="0">
      <items count="5">
        <item x="0"/>
        <item m="1" x="3"/>
        <item x="1"/>
        <item m="1" x="2"/>
        <item t="default"/>
      </items>
    </pivotField>
  </pivotFields>
  <rowFields count="1">
    <field x="0"/>
  </rowFields>
  <rowItems count="4">
    <i>
      <x v="25"/>
    </i>
    <i>
      <x v="26"/>
    </i>
    <i>
      <x v="27"/>
    </i>
    <i t="grand">
      <x/>
    </i>
  </rowItems>
  <colFields count="1">
    <field x="3"/>
  </colFields>
  <colItems count="3">
    <i>
      <x/>
    </i>
    <i>
      <x v="2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27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  <c r="I1" s="29" t="s">
        <v>19</v>
      </c>
      <c r="J1" s="30"/>
      <c r="K1" s="31"/>
    </row>
    <row r="2" spans="1:11" x14ac:dyDescent="0.25">
      <c r="A2" s="15">
        <v>43406</v>
      </c>
      <c r="B2" s="16">
        <f t="shared" ref="B2" si="0">WEEKNUM(A2)</f>
        <v>44</v>
      </c>
      <c r="C2" s="17">
        <v>2</v>
      </c>
      <c r="D2" s="18" t="s">
        <v>6</v>
      </c>
      <c r="E2" s="14" t="s">
        <v>49</v>
      </c>
      <c r="F2" s="9" t="s">
        <v>50</v>
      </c>
      <c r="I2" s="32" t="s">
        <v>12</v>
      </c>
      <c r="J2" s="33"/>
      <c r="K2" s="19">
        <v>0</v>
      </c>
    </row>
    <row r="3" spans="1:11" ht="30" x14ac:dyDescent="0.25">
      <c r="A3" s="15">
        <v>43406</v>
      </c>
      <c r="B3" s="16">
        <f t="shared" ref="B3" si="1">WEEKNUM(A3)</f>
        <v>44</v>
      </c>
      <c r="C3" s="17">
        <v>1</v>
      </c>
      <c r="D3" s="18" t="s">
        <v>8</v>
      </c>
      <c r="E3" s="14" t="s">
        <v>48</v>
      </c>
      <c r="F3" s="9"/>
      <c r="I3" s="32" t="s">
        <v>12</v>
      </c>
      <c r="J3" s="33"/>
      <c r="K3" s="19">
        <v>0</v>
      </c>
    </row>
    <row r="4" spans="1:11" ht="30" x14ac:dyDescent="0.25">
      <c r="A4" s="15">
        <v>43404</v>
      </c>
      <c r="B4" s="16">
        <f t="shared" ref="B4" si="2">WEEKNUM(A4)</f>
        <v>44</v>
      </c>
      <c r="C4" s="17">
        <v>1</v>
      </c>
      <c r="D4" s="18" t="s">
        <v>6</v>
      </c>
      <c r="E4" s="14" t="s">
        <v>47</v>
      </c>
      <c r="F4" s="9"/>
      <c r="I4" s="32" t="s">
        <v>12</v>
      </c>
      <c r="J4" s="33"/>
      <c r="K4" s="19">
        <v>0</v>
      </c>
    </row>
    <row r="5" spans="1:11" x14ac:dyDescent="0.25">
      <c r="A5" s="15">
        <v>43404</v>
      </c>
      <c r="B5" s="16">
        <f t="shared" ref="B5" si="3">WEEKNUM(A5)</f>
        <v>44</v>
      </c>
      <c r="C5" s="17">
        <v>1</v>
      </c>
      <c r="D5" s="18" t="s">
        <v>8</v>
      </c>
      <c r="E5" s="14" t="s">
        <v>46</v>
      </c>
      <c r="F5" s="9"/>
      <c r="I5" s="34" t="s">
        <v>13</v>
      </c>
      <c r="J5" s="35"/>
      <c r="K5" s="19">
        <v>3</v>
      </c>
    </row>
    <row r="6" spans="1:11" x14ac:dyDescent="0.25">
      <c r="A6" s="15">
        <v>43403</v>
      </c>
      <c r="B6" s="16">
        <f t="shared" ref="B6" si="4">WEEKNUM(A6)</f>
        <v>44</v>
      </c>
      <c r="C6" s="17">
        <v>3</v>
      </c>
      <c r="D6" s="18" t="s">
        <v>9</v>
      </c>
      <c r="E6" s="14" t="s">
        <v>45</v>
      </c>
      <c r="F6" s="9"/>
      <c r="I6" s="34" t="s">
        <v>14</v>
      </c>
      <c r="J6" s="35"/>
      <c r="K6" s="19">
        <v>0</v>
      </c>
    </row>
    <row r="7" spans="1:11" ht="30" x14ac:dyDescent="0.25">
      <c r="A7" s="15">
        <v>43385</v>
      </c>
      <c r="B7" s="16">
        <f t="shared" ref="B7" si="5">WEEKNUM(A7)</f>
        <v>41</v>
      </c>
      <c r="C7" s="17">
        <v>3</v>
      </c>
      <c r="D7" s="18" t="s">
        <v>6</v>
      </c>
      <c r="E7" s="14" t="s">
        <v>44</v>
      </c>
      <c r="F7" s="9"/>
      <c r="I7" s="34" t="s">
        <v>15</v>
      </c>
      <c r="J7" s="35"/>
      <c r="K7" s="19">
        <v>0</v>
      </c>
    </row>
    <row r="8" spans="1:11" ht="15.75" thickBot="1" x14ac:dyDescent="0.3">
      <c r="A8" s="15">
        <v>43382</v>
      </c>
      <c r="B8" s="16">
        <f t="shared" ref="B8" si="6">WEEKNUM(A8)</f>
        <v>41</v>
      </c>
      <c r="C8" s="17">
        <v>3</v>
      </c>
      <c r="D8" s="18" t="s">
        <v>9</v>
      </c>
      <c r="E8" s="14" t="s">
        <v>43</v>
      </c>
      <c r="F8" s="9"/>
      <c r="I8" s="27" t="s">
        <v>16</v>
      </c>
      <c r="J8" s="28"/>
      <c r="K8" s="20">
        <v>3</v>
      </c>
    </row>
    <row r="9" spans="1:11" ht="30.75" thickBot="1" x14ac:dyDescent="0.3">
      <c r="A9" s="15">
        <v>43378</v>
      </c>
      <c r="B9" s="16">
        <f t="shared" ref="B9" si="7">WEEKNUM(A9)</f>
        <v>40</v>
      </c>
      <c r="C9" s="17">
        <v>1</v>
      </c>
      <c r="D9" s="18" t="s">
        <v>8</v>
      </c>
      <c r="E9" s="14" t="s">
        <v>42</v>
      </c>
      <c r="F9" s="9"/>
    </row>
    <row r="10" spans="1:11" ht="45.75" thickBot="1" x14ac:dyDescent="0.3">
      <c r="A10" s="15">
        <v>43378</v>
      </c>
      <c r="B10" s="16">
        <f t="shared" ref="B10" si="8">WEEKNUM(A10)</f>
        <v>40</v>
      </c>
      <c r="C10" s="17">
        <v>2</v>
      </c>
      <c r="D10" s="18" t="s">
        <v>6</v>
      </c>
      <c r="E10" s="14" t="s">
        <v>41</v>
      </c>
      <c r="F10" s="9"/>
      <c r="I10" s="25" t="s">
        <v>18</v>
      </c>
      <c r="J10" s="26"/>
      <c r="K10" s="21">
        <f>SUM(K4:K8)</f>
        <v>6</v>
      </c>
    </row>
    <row r="11" spans="1:11" ht="30" x14ac:dyDescent="0.25">
      <c r="A11" s="15">
        <v>43375</v>
      </c>
      <c r="B11" s="16">
        <f t="shared" ref="B11" si="9">WEEKNUM(A11)</f>
        <v>40</v>
      </c>
      <c r="C11" s="17">
        <v>2</v>
      </c>
      <c r="D11" s="18" t="s">
        <v>6</v>
      </c>
      <c r="E11" s="14" t="s">
        <v>40</v>
      </c>
      <c r="F11" s="9"/>
    </row>
    <row r="12" spans="1:11" ht="30" x14ac:dyDescent="0.25">
      <c r="A12" s="15">
        <v>43375</v>
      </c>
      <c r="B12" s="16">
        <f t="shared" ref="B12" si="10">WEEKNUM(A12)</f>
        <v>40</v>
      </c>
      <c r="C12" s="17">
        <v>1</v>
      </c>
      <c r="D12" s="18" t="s">
        <v>8</v>
      </c>
      <c r="E12" s="14" t="s">
        <v>39</v>
      </c>
      <c r="F12" s="9"/>
    </row>
    <row r="13" spans="1:11" x14ac:dyDescent="0.25">
      <c r="A13" s="15">
        <v>43371</v>
      </c>
      <c r="B13" s="16">
        <f t="shared" ref="B13" si="11">WEEKNUM(A13)</f>
        <v>39</v>
      </c>
      <c r="C13" s="17">
        <v>3</v>
      </c>
      <c r="D13" s="18" t="s">
        <v>9</v>
      </c>
      <c r="E13" s="14" t="s">
        <v>38</v>
      </c>
      <c r="F13" s="9"/>
    </row>
    <row r="14" spans="1:11" ht="30" x14ac:dyDescent="0.25">
      <c r="A14" s="15">
        <v>43368</v>
      </c>
      <c r="B14" s="16">
        <f t="shared" ref="B14" si="12">WEEKNUM(A14)</f>
        <v>39</v>
      </c>
      <c r="C14" s="17">
        <v>2</v>
      </c>
      <c r="D14" s="18" t="s">
        <v>6</v>
      </c>
      <c r="E14" s="14" t="s">
        <v>36</v>
      </c>
      <c r="F14" s="9" t="s">
        <v>37</v>
      </c>
    </row>
    <row r="15" spans="1:11" x14ac:dyDescent="0.25">
      <c r="A15" s="15">
        <v>43368</v>
      </c>
      <c r="B15" s="16">
        <f t="shared" ref="B15" si="13">WEEKNUM(A15)</f>
        <v>39</v>
      </c>
      <c r="C15" s="17">
        <v>1</v>
      </c>
      <c r="D15" s="18" t="s">
        <v>5</v>
      </c>
      <c r="E15" s="14" t="s">
        <v>35</v>
      </c>
      <c r="F15" s="9"/>
    </row>
    <row r="16" spans="1:11" x14ac:dyDescent="0.25">
      <c r="A16" s="15">
        <v>43357</v>
      </c>
      <c r="B16" s="16">
        <f t="shared" ref="B16" si="14">WEEKNUM(A16)</f>
        <v>37</v>
      </c>
      <c r="C16" s="17">
        <v>2</v>
      </c>
      <c r="D16" s="18" t="s">
        <v>6</v>
      </c>
      <c r="E16" s="14" t="s">
        <v>34</v>
      </c>
      <c r="F16" s="9"/>
    </row>
    <row r="17" spans="1:6" ht="30" x14ac:dyDescent="0.25">
      <c r="A17" s="15">
        <v>43357</v>
      </c>
      <c r="B17" s="16">
        <f t="shared" ref="B17" si="15">WEEKNUM(A17)</f>
        <v>37</v>
      </c>
      <c r="C17" s="17">
        <v>1</v>
      </c>
      <c r="D17" s="18" t="s">
        <v>8</v>
      </c>
      <c r="E17" s="14" t="s">
        <v>33</v>
      </c>
      <c r="F17" s="9"/>
    </row>
    <row r="18" spans="1:6" ht="30" x14ac:dyDescent="0.25">
      <c r="A18" s="15">
        <v>43354</v>
      </c>
      <c r="B18" s="16">
        <f t="shared" ref="B18" si="16">WEEKNUM(A18)</f>
        <v>37</v>
      </c>
      <c r="C18" s="17">
        <v>1</v>
      </c>
      <c r="D18" s="18" t="s">
        <v>8</v>
      </c>
      <c r="E18" s="14" t="s">
        <v>32</v>
      </c>
      <c r="F18" s="9"/>
    </row>
    <row r="19" spans="1:6" ht="30" x14ac:dyDescent="0.25">
      <c r="A19" s="15">
        <v>43354</v>
      </c>
      <c r="B19" s="16">
        <f t="shared" ref="B19" si="17">WEEKNUM(A19)</f>
        <v>37</v>
      </c>
      <c r="C19" s="17">
        <v>1</v>
      </c>
      <c r="D19" s="18" t="s">
        <v>5</v>
      </c>
      <c r="E19" s="14" t="s">
        <v>31</v>
      </c>
      <c r="F19" s="9"/>
    </row>
    <row r="20" spans="1:6" x14ac:dyDescent="0.25">
      <c r="A20" s="15">
        <v>43354</v>
      </c>
      <c r="B20" s="16">
        <f t="shared" ref="B20" si="18">WEEKNUM(A20)</f>
        <v>37</v>
      </c>
      <c r="C20" s="17">
        <v>1</v>
      </c>
      <c r="D20" s="18" t="s">
        <v>9</v>
      </c>
      <c r="E20" s="14" t="s">
        <v>30</v>
      </c>
      <c r="F20" s="9"/>
    </row>
    <row r="21" spans="1:6" x14ac:dyDescent="0.25">
      <c r="A21" s="15">
        <v>43350</v>
      </c>
      <c r="B21" s="16">
        <f t="shared" ref="B21" si="19">WEEKNUM(A21)</f>
        <v>36</v>
      </c>
      <c r="C21" s="17">
        <v>2</v>
      </c>
      <c r="D21" s="18" t="s">
        <v>8</v>
      </c>
      <c r="E21" s="14" t="s">
        <v>28</v>
      </c>
      <c r="F21" s="9"/>
    </row>
    <row r="22" spans="1:6" x14ac:dyDescent="0.25">
      <c r="A22" s="15">
        <v>43350</v>
      </c>
      <c r="B22" s="16">
        <f t="shared" ref="B22" si="20">WEEKNUM(A22)</f>
        <v>36</v>
      </c>
      <c r="C22" s="17">
        <v>1</v>
      </c>
      <c r="D22" s="18" t="s">
        <v>8</v>
      </c>
      <c r="E22" s="14" t="s">
        <v>25</v>
      </c>
      <c r="F22" s="9" t="s">
        <v>26</v>
      </c>
    </row>
    <row r="23" spans="1:6" x14ac:dyDescent="0.25">
      <c r="A23" s="15">
        <v>43347</v>
      </c>
      <c r="B23" s="16">
        <f t="shared" ref="B23" si="21">WEEKNUM(A23)</f>
        <v>36</v>
      </c>
      <c r="C23" s="17">
        <v>2</v>
      </c>
      <c r="D23" s="18" t="s">
        <v>8</v>
      </c>
      <c r="E23" s="14" t="s">
        <v>24</v>
      </c>
      <c r="F23" s="9"/>
    </row>
    <row r="24" spans="1:6" ht="30" x14ac:dyDescent="0.25">
      <c r="A24" s="15">
        <v>43347</v>
      </c>
      <c r="B24" s="16">
        <f t="shared" ref="B24" si="22">WEEKNUM(A24)</f>
        <v>36</v>
      </c>
      <c r="C24" s="17">
        <v>1</v>
      </c>
      <c r="D24" s="18" t="s">
        <v>5</v>
      </c>
      <c r="E24" s="14" t="s">
        <v>27</v>
      </c>
      <c r="F24" s="9"/>
    </row>
    <row r="25" spans="1:6" x14ac:dyDescent="0.25">
      <c r="A25" s="15">
        <v>43343</v>
      </c>
      <c r="B25" s="16">
        <f t="shared" ref="B25" si="23">WEEKNUM(A25)</f>
        <v>35</v>
      </c>
      <c r="C25" s="17">
        <v>1</v>
      </c>
      <c r="D25" s="18" t="s">
        <v>5</v>
      </c>
      <c r="E25" s="14" t="s">
        <v>23</v>
      </c>
      <c r="F25" s="9"/>
    </row>
    <row r="26" spans="1:6" ht="30" x14ac:dyDescent="0.25">
      <c r="A26" s="15">
        <v>43343</v>
      </c>
      <c r="B26" s="16">
        <f t="shared" ref="B26" si="24">WEEKNUM(A26)</f>
        <v>35</v>
      </c>
      <c r="C26" s="17">
        <v>1</v>
      </c>
      <c r="D26" s="18" t="s">
        <v>5</v>
      </c>
      <c r="E26" s="14" t="s">
        <v>20</v>
      </c>
      <c r="F26" s="9" t="s">
        <v>21</v>
      </c>
    </row>
    <row r="27" spans="1:6" x14ac:dyDescent="0.25">
      <c r="A27" s="15">
        <v>43343</v>
      </c>
      <c r="B27" s="16">
        <f t="shared" ref="B27" si="25">WEEKNUM(A27)</f>
        <v>35</v>
      </c>
      <c r="C27" s="17">
        <v>1</v>
      </c>
      <c r="D27" s="18" t="s">
        <v>5</v>
      </c>
      <c r="E27" s="14" t="s">
        <v>22</v>
      </c>
      <c r="F27" s="9"/>
    </row>
  </sheetData>
  <sheetProtection selectLockedCells="1"/>
  <mergeCells count="9">
    <mergeCell ref="I10:J10"/>
    <mergeCell ref="I8:J8"/>
    <mergeCell ref="I1:K1"/>
    <mergeCell ref="I4:J4"/>
    <mergeCell ref="I5:J5"/>
    <mergeCell ref="I6:J6"/>
    <mergeCell ref="I7:J7"/>
    <mergeCell ref="I3:J3"/>
    <mergeCell ref="I2:J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D8"/>
  <sheetViews>
    <sheetView workbookViewId="0">
      <selection activeCell="C3" sqref="C3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8" customWidth="1"/>
    <col min="4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4" x14ac:dyDescent="0.25">
      <c r="A3" s="22" t="s">
        <v>29</v>
      </c>
    </row>
    <row r="4" spans="1:4" x14ac:dyDescent="0.25">
      <c r="B4" t="s">
        <v>8</v>
      </c>
      <c r="C4" t="s">
        <v>5</v>
      </c>
      <c r="D4" t="s">
        <v>10</v>
      </c>
    </row>
    <row r="5" spans="1:4" x14ac:dyDescent="0.25">
      <c r="A5" s="3">
        <v>43350</v>
      </c>
      <c r="B5" s="24">
        <v>3</v>
      </c>
      <c r="C5" s="24"/>
      <c r="D5" s="24">
        <v>3</v>
      </c>
    </row>
    <row r="6" spans="1:4" x14ac:dyDescent="0.25">
      <c r="A6" s="3">
        <v>43347</v>
      </c>
      <c r="B6" s="24">
        <v>2</v>
      </c>
      <c r="C6" s="24">
        <v>1</v>
      </c>
      <c r="D6" s="24">
        <v>3</v>
      </c>
    </row>
    <row r="7" spans="1:4" x14ac:dyDescent="0.25">
      <c r="A7" s="3">
        <v>43343</v>
      </c>
      <c r="B7" s="24"/>
      <c r="C7" s="24">
        <v>3</v>
      </c>
      <c r="D7" s="24">
        <v>3</v>
      </c>
    </row>
    <row r="8" spans="1:4" x14ac:dyDescent="0.25">
      <c r="A8" s="3" t="s">
        <v>10</v>
      </c>
      <c r="B8" s="23">
        <v>5</v>
      </c>
      <c r="C8" s="23">
        <v>4</v>
      </c>
      <c r="D8" s="23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2018-11-02T09:09:00Z</dcterms:modified>
</cp:coreProperties>
</file>