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 l="1"/>
  <c r="B5" i="1"/>
  <c r="B6" i="1" l="1"/>
  <c r="B7" i="1" l="1"/>
  <c r="B8" i="1"/>
  <c r="B9" i="1" l="1"/>
  <c r="B10" i="1"/>
  <c r="B11" i="1" l="1"/>
  <c r="B12" i="1"/>
  <c r="B13" i="1"/>
  <c r="B14" i="1" l="1"/>
  <c r="B15" i="1"/>
  <c r="B16" i="1"/>
  <c r="B17" i="1"/>
  <c r="B18" i="1"/>
  <c r="B19" i="1"/>
  <c r="B20" i="1" l="1"/>
  <c r="K28" i="1" l="1"/>
</calcChain>
</file>

<file path=xl/sharedStrings.xml><?xml version="1.0" encoding="utf-8"?>
<sst xmlns="http://schemas.openxmlformats.org/spreadsheetml/2006/main" count="65" uniqueCount="43">
  <si>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</si>
  <si>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</si>
  <si>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</si>
  <si>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</si>
  <si>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</si>
  <si>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</si>
  <si>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</si>
  <si>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</si>
  <si>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</si>
  <si>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</si>
  <si>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</si>
  <si>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</si>
  <si>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Lundi</t>
  </si>
  <si>
    <t>Mardi</t>
  </si>
  <si>
    <t>Mercredi</t>
  </si>
  <si>
    <t>Jeudi</t>
  </si>
  <si>
    <t>Vendredi</t>
  </si>
  <si>
    <t>Temps [période]</t>
  </si>
  <si>
    <t>Total semaine</t>
  </si>
  <si>
    <t>Temps de travail [périodes]</t>
  </si>
  <si>
    <t>Définition de la technologie qui sera utilié pour ce module.</t>
  </si>
  <si>
    <t>Avec Alexandre on hésitait entre faire ce projet en PhP ou en C#. Nous avons décidé de partir sur du C#.</t>
  </si>
  <si>
    <t>Reçu la consigne du projet, possibilité de poser des questions au client.</t>
  </si>
  <si>
    <t>Définir les points importants dans un cahier des charges</t>
  </si>
  <si>
    <t>Création du cahier des charges, de la maquette du logiciel.</t>
  </si>
  <si>
    <t>Création du journal de travail.</t>
  </si>
  <si>
    <t>Ajouter tout ce qui a été fait les jours précédents dans ce module.</t>
  </si>
  <si>
    <t>Installation des différents logiciels qui seront utilisés pendant le projet. Mis en place du trello et le répertoire Github.</t>
  </si>
  <si>
    <t>Continuer à faire le cahier des charges.</t>
  </si>
  <si>
    <t>Somme de Temps [période]</t>
  </si>
  <si>
    <t>M. Rapopport est venue nous parler du service santé du CPNV.</t>
  </si>
  <si>
    <t>Finalisation du cahier des charges, ajout des use case et scénarios dans celui-ci, ajout des maquettes de l'application.</t>
  </si>
  <si>
    <t>Commencement de la documentation du projet. Ajouter l'introduction au projet, les objectifs, la planification intiale, ajout de la page de titre.</t>
  </si>
  <si>
    <t>Finalisation du cahier des charges que j'ai ensuite donné à Alexandre pour qu'il l'envoie.</t>
  </si>
  <si>
    <t xml:space="preserve">Commencement de l'application sur Visual Studio </t>
  </si>
  <si>
    <t xml:space="preserve">Feed-back du camp avec M. Chevillat </t>
  </si>
  <si>
    <t xml:space="preserve">J'ai continué d'implémenter l'application </t>
  </si>
  <si>
    <t>Afficher les dossiers et fichiers d'un dossier. Je n'arrive pas à afficher l'image "dossier" pour les dossiers.</t>
  </si>
  <si>
    <t>Absent pour maladie</t>
  </si>
  <si>
    <t>Ajout des use cases dans la documentation. Ajout aussi ajouter dans un paragraphe les risques techniques</t>
  </si>
  <si>
    <t>Continuer à faire l'application, je me suis aidé de certains tutos sur youtube pour voir quelle technologie de C# on allait utiliser</t>
  </si>
  <si>
    <t>Changement de l'application une première fois, utilisation de webbrowser. Après quelques réflexions nous avons abandonné l'idée d'utiliser cette technologie. On est alors revenu en arrière.</t>
  </si>
  <si>
    <t>Ajout des maquettes dans le document, renseigné le dossier de réalisation avec tout ce qu'on utilise pour le projet.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</si>
</sst>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0" fontId="0" fillId="0" borderId="1" xfId="0" applyBorder="1" applyAlignment="1">
      <alignment horizontal="left" vertical="center" wrapText="1"/>
    </xf>
    <xf numFmtId="16" fontId="0" fillId="0" borderId="1" xfId="0" applyNumberFormat="1" applyBorder="1" applyAlignment="1" applyProtection="1">
      <alignment horizontal="center" vertical="center" wrapText="1"/>
      <protection locked="0"/>
    </xf>
    <xf numFmtId="1" fontId="0" fillId="0" borderId="1" xfId="0" applyNumberFormat="1" applyBorder="1" applyAlignment="1" applyProtection="1">
      <alignment horizontal="center" vertical="center" wrapText="1"/>
    </xf>
    <xf numFmtId="0" fontId="0" fillId="0" borderId="1" xfId="0" applyNumberFormat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3" xfId="0" applyNumberFormat="1" applyBorder="1" applyAlignment="1" applyProtection="1">
      <alignment horizontal="center" vertical="center"/>
      <protection locked="0"/>
    </xf>
    <xf numFmtId="0" fontId="0" fillId="0" borderId="14" xfId="0" applyNumberFormat="1" applyBorder="1" applyAlignment="1" applyProtection="1">
      <alignment horizontal="center" vertical="center"/>
      <protection locked="0"/>
    </xf>
    <xf numFmtId="0" fontId="0" fillId="0" borderId="9" xfId="0" applyBorder="1" applyProtection="1">
      <protection locked="0"/>
    </xf>
    <xf numFmtId="0" fontId="0" fillId="0" borderId="0" xfId="0" pivotButton="1"/>
    <xf numFmtId="0" fontId="0" fillId="0" borderId="0" xfId="0" applyNumberFormat="1"/>
    <xf numFmtId="0" fontId="5" fillId="0" borderId="0" xfId="0" applyNumberFormat="1" applyFont="1" applyFill="1"/>
    <xf numFmtId="0" fontId="0" fillId="0" borderId="7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" fillId="3" borderId="10" xfId="0" applyFont="1" applyFill="1" applyBorder="1" applyAlignment="1">
      <alignment horizontal="center"/>
    </xf>
    <xf numFmtId="0" fontId="4" fillId="3" borderId="11" xfId="0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3"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ont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350.355282291668" createdVersion="4" refreshedVersion="6" minRefreshableVersion="3" recordCount="7">
  <cacheSource type="worksheet">
    <worksheetSource ref="A1:D20" sheet="Journal"/>
  </cacheSource>
  <cacheFields count="4">
    <cacheField name="Jour" numFmtId="16">
      <sharedItems containsSemiMixedTypes="0" containsNonDate="0" containsDate="1" containsString="0" minDate="2018-01-01T00:00:00" maxDate="2018-09-09T00:00:00" count="28">
        <d v="2018-09-07T00:00:00"/>
        <d v="2018-09-04T00:00:00"/>
        <d v="2018-08-31T00:00:00"/>
        <d v="2018-02-09T00:00:00" u="1"/>
        <d v="2018-02-28T00:00:00" u="1"/>
        <d v="2018-02-02T00:00:00" u="1"/>
        <d v="2018-03-07T00:00:00" u="1"/>
        <d v="2018-05-17T00:00:00" u="1"/>
        <d v="2018-02-14T00:00:00" u="1"/>
        <d v="2018-02-07T00:00:00" u="1"/>
        <d v="2018-05-22T00:00:00" u="1"/>
        <d v="2018-05-15T00:00:00" u="1"/>
        <d v="2018-05-08T00:00:00" u="1"/>
        <d v="2018-05-18T00:00:00" u="1"/>
        <d v="2018-03-01T00:00:00" u="1"/>
        <d v="2018-02-15T00:00:00" u="1"/>
        <d v="2018-02-08T00:00:00" u="1"/>
        <d v="2018-02-27T00:00:00" u="1"/>
        <d v="2018-02-01T00:00:00" u="1"/>
        <d v="2018-03-06T00:00:00" u="1"/>
        <d v="2018-05-16T00:00:00" u="1"/>
        <d v="2018-02-13T00:00:00" u="1"/>
        <d v="2018-05-09T00:00:00" u="1"/>
        <d v="2018-01-01T00:00:00" u="1"/>
        <d v="2018-02-06T00:00:00" u="1"/>
        <d v="2018-09-08T00:00:00" u="1"/>
        <d v="2018-03-02T00:00:00" u="1"/>
        <d v="2018-02-16T00:00:00" u="1"/>
      </sharedItems>
    </cacheField>
    <cacheField name="Semaine" numFmtId="1">
      <sharedItems containsSemiMixedTypes="0" containsString="0" containsNumber="1" containsInteger="1" minValue="35" maxValue="36"/>
    </cacheField>
    <cacheField name="Temps [période]" numFmtId="0">
      <sharedItems containsSemiMixedTypes="0" containsString="0" containsNumber="1" minValue="0.5" maxValue="5" count="9">
        <n v="2"/>
        <n v="1"/>
        <n v="5" u="1"/>
        <n v="0.75" u="1"/>
        <n v="2.5" u="1"/>
        <n v="3" u="1"/>
        <n v="3.5" u="1"/>
        <n v="0.5" u="1"/>
        <n v="1.5" u="1"/>
      </sharedItems>
    </cacheField>
    <cacheField name="Type" numFmtId="0">
      <sharedItems count="4">
        <s v="Documentation"/>
        <s v="Analyse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">
  <r>
    <x v="0"/>
    <n v="36"/>
    <x v="0"/>
    <x v="0"/>
  </r>
  <r>
    <x v="0"/>
    <n v="36"/>
    <x v="1"/>
    <x v="0"/>
  </r>
  <r>
    <x v="1"/>
    <n v="36"/>
    <x v="0"/>
    <x v="0"/>
  </r>
  <r>
    <x v="1"/>
    <n v="36"/>
    <x v="1"/>
    <x v="1"/>
  </r>
  <r>
    <x v="2"/>
    <n v="35"/>
    <x v="1"/>
    <x v="1"/>
  </r>
  <r>
    <x v="2"/>
    <n v="35"/>
    <x v="1"/>
    <x v="1"/>
  </r>
  <r>
    <x v="2"/>
    <n v="35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D8" firstHeaderRow="1" firstDataRow="2" firstDataCol="1"/>
  <pivotFields count="4">
    <pivotField axis="axisRow" numFmtId="16" showAll="0" defaultSubtotal="0">
      <items count="28">
        <item sd="0" m="1" x="23"/>
        <item sd="0" m="1" x="16"/>
        <item sd="0" m="1" x="9"/>
        <item sd="0" m="1" x="24"/>
        <item sd="0" m="1" x="5"/>
        <item sd="0" m="1" x="18"/>
        <item sd="0" m="1" x="27"/>
        <item sd="0" m="1" x="15"/>
        <item sd="0" m="1" x="8"/>
        <item sd="0" m="1" x="21"/>
        <item sd="0" m="1" x="3"/>
        <item sd="0" m="1" x="17"/>
        <item sd="0" m="1" x="4"/>
        <item sd="0" m="1" x="26"/>
        <item sd="0" m="1" x="14"/>
        <item sd="0" m="1" x="6"/>
        <item sd="0" m="1" x="19"/>
        <item sd="0" m="1" x="11"/>
        <item sd="0" m="1" x="22"/>
        <item sd="0" m="1" x="12"/>
        <item sd="0" m="1" x="7"/>
        <item sd="0" m="1" x="20"/>
        <item sd="0" m="1" x="10"/>
        <item sd="0" m="1" x="13"/>
        <item m="1" x="25"/>
        <item x="0"/>
        <item x="1"/>
        <item x="2"/>
      </items>
    </pivotField>
    <pivotField showAll="0"/>
    <pivotField dataField="1" showAll="0">
      <items count="10">
        <item m="1" x="7"/>
        <item m="1" x="3"/>
        <item x="1"/>
        <item m="1" x="8"/>
        <item x="0"/>
        <item m="1" x="4"/>
        <item m="1" x="5"/>
        <item m="1" x="6"/>
        <item m="1" x="2"/>
        <item t="default"/>
      </items>
    </pivotField>
    <pivotField axis="axisCol" showAll="0">
      <items count="5">
        <item x="0"/>
        <item m="1" x="3"/>
        <item x="1"/>
        <item m="1" x="2"/>
        <item t="default"/>
      </items>
    </pivotField>
  </pivotFields>
  <rowFields count="1">
    <field x="0"/>
  </rowFields>
  <rowItems count="4">
    <i>
      <x v="25"/>
    </i>
    <i>
      <x v="26"/>
    </i>
    <i>
      <x v="27"/>
    </i>
    <i t="grand">
      <x/>
    </i>
  </rowItems>
  <colFields count="1">
    <field x="3"/>
  </colFields>
  <colItems count="3">
    <i>
      <x/>
    </i>
    <i>
      <x v="2"/>
    </i>
    <i t="grand">
      <x/>
    </i>
  </colItems>
  <dataFields count="1">
    <dataField name="Somme de Temps [période]" fld="2" baseField="0" baseItem="0"/>
  </dataFields>
  <formats count="3">
    <format dxfId="2">
      <pivotArea collapsedLevelsAreSubtotals="1" fieldPosition="0">
        <references count="1">
          <reference field="0" count="0"/>
        </references>
      </pivotArea>
    </format>
    <format dxfId="1">
      <pivotArea collapsedLevelsAreSubtotals="1" fieldPosition="0">
        <references count="1">
          <reference field="0" count="0"/>
        </references>
      </pivotArea>
    </format>
    <format dxfId="0">
      <pivotArea collapsedLevelsAreSubtotals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K28"/>
  <sheetViews>
    <sheetView tabSelected="1" workbookViewId="0">
      <selection activeCell="E3" sqref="E3"/>
    </sheetView>
  </sheetViews>
  <sheetFormatPr baseColWidth="10" defaultColWidth="9.140625" defaultRowHeight="15" x14ac:dyDescent="0.25"/>
  <cols>
    <col min="1" max="1" width="7.85546875" style="5" bestFit="1" customWidth="1"/>
    <col min="2" max="2" width="8.140625" style="13" bestFit="1" customWidth="1"/>
    <col min="3" max="3" width="17" style="10" bestFit="1" customWidth="1"/>
    <col min="4" max="4" width="15.42578125" style="5" bestFit="1" customWidth="1"/>
    <col min="5" max="5" width="66.140625" style="11" customWidth="1"/>
    <col min="6" max="6" width="68.85546875" style="11" customWidth="1"/>
    <col min="7" max="10" width="9.140625" style="8"/>
    <col min="11" max="11" width="19.85546875" style="8" customWidth="1"/>
    <col min="12" max="16384" width="9.140625" style="8"/>
  </cols>
  <sheetData>
    <row r="1" spans="1:6" ht="24" customHeight="1" x14ac:dyDescent="0.25">
      <c r="A1" s="4" t="s">
        <v>2</v>
      </c>
      <c r="B1" s="12" t="s">
        <v>11</v>
      </c>
      <c r="C1" s="6" t="s">
        <v>17</v>
      </c>
      <c r="D1" s="4" t="s">
        <v>3</v>
      </c>
      <c r="E1" s="7" t="s">
        <v>0</v>
      </c>
      <c r="F1" s="7" t="s">
        <v>1</v>
      </c>
    </row>
    <row r="2" spans="1:6" ht="30" x14ac:dyDescent="0.25">
      <c r="A2" s="15">
        <v>43378</v>
      </c>
      <c r="B2" s="16">
        <f t="shared" ref="B2" si="0">WEEKNUM(A2)</f>
        <v>40</v>
      </c>
      <c r="C2" s="17">
        <v>1</v>
      </c>
      <c r="D2" s="18" t="s">
        <v>8</v>
      </c>
      <c r="E2" s="14" t="s">
        <v>42</v>
      </c>
      <c r="F2" s="9"/>
    </row>
    <row r="3" spans="1:6" ht="45" x14ac:dyDescent="0.25">
      <c r="A3" s="15">
        <v>43378</v>
      </c>
      <c r="B3" s="16">
        <f t="shared" ref="B3" si="1">WEEKNUM(A3)</f>
        <v>40</v>
      </c>
      <c r="C3" s="17">
        <v>2</v>
      </c>
      <c r="D3" s="18" t="s">
        <v>6</v>
      </c>
      <c r="E3" s="14" t="s">
        <v>41</v>
      </c>
      <c r="F3" s="9"/>
    </row>
    <row r="4" spans="1:6" ht="30" x14ac:dyDescent="0.25">
      <c r="A4" s="15">
        <v>43375</v>
      </c>
      <c r="B4" s="16">
        <f t="shared" ref="B4" si="2">WEEKNUM(A4)</f>
        <v>40</v>
      </c>
      <c r="C4" s="17">
        <v>2</v>
      </c>
      <c r="D4" s="18" t="s">
        <v>6</v>
      </c>
      <c r="E4" s="14" t="s">
        <v>40</v>
      </c>
      <c r="F4" s="9"/>
    </row>
    <row r="5" spans="1:6" ht="30" x14ac:dyDescent="0.25">
      <c r="A5" s="15">
        <v>43375</v>
      </c>
      <c r="B5" s="16">
        <f t="shared" ref="B5" si="3">WEEKNUM(A5)</f>
        <v>40</v>
      </c>
      <c r="C5" s="17">
        <v>1</v>
      </c>
      <c r="D5" s="18" t="s">
        <v>8</v>
      </c>
      <c r="E5" s="14" t="s">
        <v>39</v>
      </c>
      <c r="F5" s="9"/>
    </row>
    <row r="6" spans="1:6" x14ac:dyDescent="0.25">
      <c r="A6" s="15">
        <v>43371</v>
      </c>
      <c r="B6" s="16">
        <f t="shared" ref="B6" si="4">WEEKNUM(A6)</f>
        <v>39</v>
      </c>
      <c r="C6" s="17">
        <v>3</v>
      </c>
      <c r="D6" s="18" t="s">
        <v>9</v>
      </c>
      <c r="E6" s="14" t="s">
        <v>38</v>
      </c>
      <c r="F6" s="9"/>
    </row>
    <row r="7" spans="1:6" ht="30" x14ac:dyDescent="0.25">
      <c r="A7" s="15">
        <v>43368</v>
      </c>
      <c r="B7" s="16">
        <f t="shared" ref="B7" si="5">WEEKNUM(A7)</f>
        <v>39</v>
      </c>
      <c r="C7" s="17">
        <v>2</v>
      </c>
      <c r="D7" s="18" t="s">
        <v>6</v>
      </c>
      <c r="E7" s="14" t="s">
        <v>36</v>
      </c>
      <c r="F7" s="9" t="s">
        <v>37</v>
      </c>
    </row>
    <row r="8" spans="1:6" x14ac:dyDescent="0.25">
      <c r="A8" s="15">
        <v>43368</v>
      </c>
      <c r="B8" s="16">
        <f t="shared" ref="B8" si="6">WEEKNUM(A8)</f>
        <v>39</v>
      </c>
      <c r="C8" s="17">
        <v>1</v>
      </c>
      <c r="D8" s="18" t="s">
        <v>5</v>
      </c>
      <c r="E8" s="14" t="s">
        <v>35</v>
      </c>
      <c r="F8" s="9"/>
    </row>
    <row r="9" spans="1:6" x14ac:dyDescent="0.25">
      <c r="A9" s="15">
        <v>43357</v>
      </c>
      <c r="B9" s="16">
        <f t="shared" ref="B9" si="7">WEEKNUM(A9)</f>
        <v>37</v>
      </c>
      <c r="C9" s="17">
        <v>2</v>
      </c>
      <c r="D9" s="18" t="s">
        <v>6</v>
      </c>
      <c r="E9" s="14" t="s">
        <v>34</v>
      </c>
      <c r="F9" s="9"/>
    </row>
    <row r="10" spans="1:6" ht="30" x14ac:dyDescent="0.25">
      <c r="A10" s="15">
        <v>43357</v>
      </c>
      <c r="B10" s="16">
        <f t="shared" ref="B10" si="8">WEEKNUM(A10)</f>
        <v>37</v>
      </c>
      <c r="C10" s="17">
        <v>1</v>
      </c>
      <c r="D10" s="18" t="s">
        <v>8</v>
      </c>
      <c r="E10" s="14" t="s">
        <v>33</v>
      </c>
      <c r="F10" s="9"/>
    </row>
    <row r="11" spans="1:6" ht="30" x14ac:dyDescent="0.25">
      <c r="A11" s="15">
        <v>43354</v>
      </c>
      <c r="B11" s="16">
        <f t="shared" ref="B11" si="9">WEEKNUM(A11)</f>
        <v>37</v>
      </c>
      <c r="C11" s="17">
        <v>1</v>
      </c>
      <c r="D11" s="18" t="s">
        <v>8</v>
      </c>
      <c r="E11" s="14" t="s">
        <v>32</v>
      </c>
      <c r="F11" s="9"/>
    </row>
    <row r="12" spans="1:6" ht="30" x14ac:dyDescent="0.25">
      <c r="A12" s="15">
        <v>43354</v>
      </c>
      <c r="B12" s="16">
        <f t="shared" ref="B12" si="10">WEEKNUM(A12)</f>
        <v>37</v>
      </c>
      <c r="C12" s="17">
        <v>1</v>
      </c>
      <c r="D12" s="18" t="s">
        <v>5</v>
      </c>
      <c r="E12" s="14" t="s">
        <v>31</v>
      </c>
      <c r="F12" s="9"/>
    </row>
    <row r="13" spans="1:6" x14ac:dyDescent="0.25">
      <c r="A13" s="15">
        <v>43354</v>
      </c>
      <c r="B13" s="16">
        <f t="shared" ref="B13" si="11">WEEKNUM(A13)</f>
        <v>37</v>
      </c>
      <c r="C13" s="17">
        <v>1</v>
      </c>
      <c r="D13" s="18" t="s">
        <v>9</v>
      </c>
      <c r="E13" s="14" t="s">
        <v>30</v>
      </c>
      <c r="F13" s="9"/>
    </row>
    <row r="14" spans="1:6" x14ac:dyDescent="0.25">
      <c r="A14" s="15">
        <v>43350</v>
      </c>
      <c r="B14" s="16">
        <f t="shared" ref="B14" si="12">WEEKNUM(A14)</f>
        <v>36</v>
      </c>
      <c r="C14" s="17">
        <v>2</v>
      </c>
      <c r="D14" s="18" t="s">
        <v>8</v>
      </c>
      <c r="E14" s="14" t="s">
        <v>28</v>
      </c>
      <c r="F14" s="9"/>
    </row>
    <row r="15" spans="1:6" x14ac:dyDescent="0.25">
      <c r="A15" s="15">
        <v>43350</v>
      </c>
      <c r="B15" s="16">
        <f t="shared" ref="B15" si="13">WEEKNUM(A15)</f>
        <v>36</v>
      </c>
      <c r="C15" s="17">
        <v>1</v>
      </c>
      <c r="D15" s="18" t="s">
        <v>8</v>
      </c>
      <c r="E15" s="14" t="s">
        <v>25</v>
      </c>
      <c r="F15" s="9" t="s">
        <v>26</v>
      </c>
    </row>
    <row r="16" spans="1:6" x14ac:dyDescent="0.25">
      <c r="A16" s="15">
        <v>43347</v>
      </c>
      <c r="B16" s="16">
        <f t="shared" ref="B16" si="14">WEEKNUM(A16)</f>
        <v>36</v>
      </c>
      <c r="C16" s="17">
        <v>2</v>
      </c>
      <c r="D16" s="18" t="s">
        <v>8</v>
      </c>
      <c r="E16" s="14" t="s">
        <v>24</v>
      </c>
      <c r="F16" s="9"/>
    </row>
    <row r="17" spans="1:11" ht="30" x14ac:dyDescent="0.25">
      <c r="A17" s="15">
        <v>43347</v>
      </c>
      <c r="B17" s="16">
        <f t="shared" ref="B17" si="15">WEEKNUM(A17)</f>
        <v>36</v>
      </c>
      <c r="C17" s="17">
        <v>1</v>
      </c>
      <c r="D17" s="18" t="s">
        <v>5</v>
      </c>
      <c r="E17" s="14" t="s">
        <v>27</v>
      </c>
      <c r="F17" s="9"/>
    </row>
    <row r="18" spans="1:11" x14ac:dyDescent="0.25">
      <c r="A18" s="15">
        <v>43343</v>
      </c>
      <c r="B18" s="16">
        <f t="shared" ref="B18" si="16">WEEKNUM(A18)</f>
        <v>35</v>
      </c>
      <c r="C18" s="17">
        <v>1</v>
      </c>
      <c r="D18" s="18" t="s">
        <v>5</v>
      </c>
      <c r="E18" s="14" t="s">
        <v>23</v>
      </c>
      <c r="F18" s="9"/>
    </row>
    <row r="19" spans="1:11" ht="30" x14ac:dyDescent="0.25">
      <c r="A19" s="15">
        <v>43343</v>
      </c>
      <c r="B19" s="16">
        <f t="shared" ref="B19" si="17">WEEKNUM(A19)</f>
        <v>35</v>
      </c>
      <c r="C19" s="17">
        <v>1</v>
      </c>
      <c r="D19" s="18" t="s">
        <v>5</v>
      </c>
      <c r="E19" s="14" t="s">
        <v>20</v>
      </c>
      <c r="F19" s="9" t="s">
        <v>21</v>
      </c>
    </row>
    <row r="20" spans="1:11" ht="15.75" thickBot="1" x14ac:dyDescent="0.3">
      <c r="A20" s="15">
        <v>43343</v>
      </c>
      <c r="B20" s="16">
        <f t="shared" ref="B20" si="18">WEEKNUM(A20)</f>
        <v>35</v>
      </c>
      <c r="C20" s="17">
        <v>1</v>
      </c>
      <c r="D20" s="18" t="s">
        <v>5</v>
      </c>
      <c r="E20" s="14" t="s">
        <v>22</v>
      </c>
      <c r="F20" s="9"/>
    </row>
    <row r="21" spans="1:11" ht="15.75" x14ac:dyDescent="0.25">
      <c r="I21" s="29" t="s">
        <v>19</v>
      </c>
      <c r="J21" s="30"/>
      <c r="K21" s="31"/>
    </row>
    <row r="22" spans="1:11" x14ac:dyDescent="0.25">
      <c r="I22" s="32" t="s">
        <v>12</v>
      </c>
      <c r="J22" s="33"/>
      <c r="K22" s="19">
        <v>0</v>
      </c>
    </row>
    <row r="23" spans="1:11" x14ac:dyDescent="0.25">
      <c r="I23" s="34" t="s">
        <v>13</v>
      </c>
      <c r="J23" s="35"/>
      <c r="K23" s="19">
        <v>3</v>
      </c>
    </row>
    <row r="24" spans="1:11" x14ac:dyDescent="0.25">
      <c r="I24" s="34" t="s">
        <v>14</v>
      </c>
      <c r="J24" s="35"/>
      <c r="K24" s="19">
        <v>0</v>
      </c>
    </row>
    <row r="25" spans="1:11" x14ac:dyDescent="0.25">
      <c r="I25" s="34" t="s">
        <v>15</v>
      </c>
      <c r="J25" s="35"/>
      <c r="K25" s="19">
        <v>0</v>
      </c>
    </row>
    <row r="26" spans="1:11" ht="15.75" thickBot="1" x14ac:dyDescent="0.3">
      <c r="I26" s="27" t="s">
        <v>16</v>
      </c>
      <c r="J26" s="28"/>
      <c r="K26" s="20">
        <v>3</v>
      </c>
    </row>
    <row r="27" spans="1:11" ht="15.75" thickBot="1" x14ac:dyDescent="0.3"/>
    <row r="28" spans="1:11" ht="15.75" thickBot="1" x14ac:dyDescent="0.3">
      <c r="I28" s="25" t="s">
        <v>18</v>
      </c>
      <c r="J28" s="26"/>
      <c r="K28" s="21">
        <f>SUM(K22:K26)</f>
        <v>6</v>
      </c>
    </row>
  </sheetData>
  <sheetProtection selectLockedCells="1"/>
  <mergeCells count="7">
    <mergeCell ref="I28:J28"/>
    <mergeCell ref="I26:J26"/>
    <mergeCell ref="I21:K21"/>
    <mergeCell ref="I22:J22"/>
    <mergeCell ref="I23:J23"/>
    <mergeCell ref="I24:J24"/>
    <mergeCell ref="I25:J25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D8"/>
  <sheetViews>
    <sheetView workbookViewId="0">
      <selection activeCell="C3" sqref="C3"/>
    </sheetView>
  </sheetViews>
  <sheetFormatPr baseColWidth="10" defaultRowHeight="15" x14ac:dyDescent="0.25"/>
  <cols>
    <col min="1" max="1" width="25.85546875" customWidth="1"/>
    <col min="2" max="2" width="14.7109375" customWidth="1"/>
    <col min="3" max="3" width="8" customWidth="1"/>
    <col min="4" max="6" width="12.57031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4" x14ac:dyDescent="0.25">
      <c r="A3" s="22" t="s">
        <v>29</v>
      </c>
    </row>
    <row r="4" spans="1:4" x14ac:dyDescent="0.25">
      <c r="B4" t="s">
        <v>8</v>
      </c>
      <c r="C4" t="s">
        <v>5</v>
      </c>
      <c r="D4" t="s">
        <v>10</v>
      </c>
    </row>
    <row r="5" spans="1:4" x14ac:dyDescent="0.25">
      <c r="A5" s="3">
        <v>43350</v>
      </c>
      <c r="B5" s="24">
        <v>3</v>
      </c>
      <c r="C5" s="24"/>
      <c r="D5" s="24">
        <v>3</v>
      </c>
    </row>
    <row r="6" spans="1:4" x14ac:dyDescent="0.25">
      <c r="A6" s="3">
        <v>43347</v>
      </c>
      <c r="B6" s="24">
        <v>2</v>
      </c>
      <c r="C6" s="24">
        <v>1</v>
      </c>
      <c r="D6" s="24">
        <v>3</v>
      </c>
    </row>
    <row r="7" spans="1:4" x14ac:dyDescent="0.25">
      <c r="A7" s="3">
        <v>43343</v>
      </c>
      <c r="B7" s="24"/>
      <c r="C7" s="24">
        <v>3</v>
      </c>
      <c r="D7" s="24">
        <v>3</v>
      </c>
    </row>
    <row r="8" spans="1:4" x14ac:dyDescent="0.25">
      <c r="A8" s="3" t="s">
        <v>10</v>
      </c>
      <c r="B8" s="23">
        <v>5</v>
      </c>
      <c r="C8" s="23">
        <v>4</v>
      </c>
      <c r="D8" s="23">
        <v>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A3" sqref="A3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2018-10-05T08:37:43Z</dcterms:modified>
</cp:coreProperties>
</file>