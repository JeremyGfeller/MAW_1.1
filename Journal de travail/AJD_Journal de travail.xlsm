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4" i="1"/>
  <c r="B5" i="1"/>
  <c r="B6" i="1"/>
  <c r="B7" i="1"/>
  <c r="B8" i="1"/>
  <c r="B9" i="1"/>
  <c r="B10" i="1" l="1"/>
  <c r="B11" i="1"/>
  <c r="B12" i="1" l="1"/>
  <c r="B13" i="1"/>
  <c r="B14" i="1" l="1"/>
  <c r="B15" i="1" l="1"/>
  <c r="B16" i="1"/>
  <c r="B17" i="1"/>
  <c r="B18" i="1" l="1"/>
  <c r="B19" i="1"/>
  <c r="B20" i="1"/>
  <c r="B21" i="1"/>
  <c r="B22" i="1"/>
  <c r="B23" i="1"/>
  <c r="B24" i="1" l="1"/>
  <c r="B25" i="1"/>
  <c r="B26" i="1" l="1"/>
  <c r="B27" i="1" l="1"/>
  <c r="B58" i="1"/>
  <c r="B28" i="1"/>
  <c r="B29" i="1"/>
  <c r="B30" i="1"/>
  <c r="B31" i="1"/>
  <c r="B32" i="1" l="1"/>
  <c r="B33" i="1"/>
  <c r="B34" i="1"/>
  <c r="B35" i="1"/>
  <c r="B36" i="1"/>
  <c r="B37" i="1"/>
  <c r="B38" i="1"/>
  <c r="B39" i="1" l="1"/>
  <c r="B40" i="1"/>
  <c r="B41" i="1"/>
  <c r="B42" i="1"/>
  <c r="B43" i="1"/>
  <c r="B44" i="1"/>
  <c r="B45" i="1"/>
  <c r="B46" i="1" l="1"/>
  <c r="B47" i="1" l="1"/>
  <c r="B48" i="1"/>
  <c r="B49" i="1"/>
  <c r="B50" i="1"/>
  <c r="B51" i="1"/>
  <c r="B52" i="1" l="1"/>
  <c r="B53" i="1"/>
  <c r="B54" i="1"/>
  <c r="B55" i="1"/>
  <c r="B56" i="1"/>
  <c r="B57" i="1"/>
  <c r="K66" i="1" l="1"/>
</calcChain>
</file>

<file path=xl/sharedStrings.xml><?xml version="1.0" encoding="utf-8"?>
<sst xmlns="http://schemas.openxmlformats.org/spreadsheetml/2006/main" count="209" uniqueCount="97">
  <si>
    <t>Description</t>
  </si>
  <si>
    <t>Remarques/problèmes</t>
  </si>
  <si>
    <t>Jour</t>
  </si>
  <si>
    <t>Type</t>
  </si>
  <si>
    <t>Types de tâches</t>
  </si>
  <si>
    <t>Analyse</t>
  </si>
  <si>
    <t>Implémentation</t>
  </si>
  <si>
    <t>Tests</t>
  </si>
  <si>
    <t>Documentation</t>
  </si>
  <si>
    <t>Absence</t>
  </si>
  <si>
    <t>Total général</t>
  </si>
  <si>
    <t>Semaine</t>
  </si>
  <si>
    <t>Lundi</t>
  </si>
  <si>
    <t>Mardi</t>
  </si>
  <si>
    <t>Mercredi</t>
  </si>
  <si>
    <t>Jeudi</t>
  </si>
  <si>
    <t>Vendredi</t>
  </si>
  <si>
    <t>Temps [période]</t>
  </si>
  <si>
    <t>Total semaine</t>
  </si>
  <si>
    <t>Temps de travail [périodes]</t>
  </si>
  <si>
    <t>Le C# à été choisis</t>
  </si>
  <si>
    <t>Définir la technologie a utiliser</t>
  </si>
  <si>
    <t>Lecture de la consigne, réflexion sur le fonctionnement de l'application et poser des questions</t>
  </si>
  <si>
    <t>Selectionner les logiciels nécessaires pour le projet et les installer</t>
  </si>
  <si>
    <t>Elaboration de la première maquette</t>
  </si>
  <si>
    <t>2</t>
  </si>
  <si>
    <t>0.5</t>
  </si>
  <si>
    <t>Mettre en place Trello et GitHub</t>
  </si>
  <si>
    <t>Voir avec Jeremy les maquettes et le cahier des charges et en discuter. + Quelques modifications</t>
  </si>
  <si>
    <t>Nombre de Temps [période]</t>
  </si>
  <si>
    <t>Créer le journal de travail et commencer à le compléter</t>
  </si>
  <si>
    <t>Ecriture des uses cases et modification des maquettes afin qu'ils correspondent aux uses cases</t>
  </si>
  <si>
    <t>1</t>
  </si>
  <si>
    <t>Lecture et reflexion sur le cahier des charges</t>
  </si>
  <si>
    <t>1.5</t>
  </si>
  <si>
    <t>Mettre à jour trello et le journal de travail</t>
  </si>
  <si>
    <t>Création de l'illustration pour la page de titre</t>
  </si>
  <si>
    <t>Modifcation de la maquette et scénarios suite à une discussion avec Jeremy et mettre à jour le journal de travail</t>
  </si>
  <si>
    <t>Meeting de classe avec Mme. Rappoport</t>
  </si>
  <si>
    <t>3</t>
  </si>
  <si>
    <t xml:space="preserve">Revoir les bases du C# </t>
  </si>
  <si>
    <t>Lire le cahier des charges et le corriger avec jeremy</t>
  </si>
  <si>
    <t>Création de la version finale des maquettes</t>
  </si>
  <si>
    <t>Réflexion et création de la vue d'ensemble</t>
  </si>
  <si>
    <t>Réutilisable pour la présentation</t>
  </si>
  <si>
    <t>Illustration de l'arborescence choisie</t>
  </si>
  <si>
    <t>Afficher l'auteur d'un fichier</t>
  </si>
  <si>
    <t>"Administrateur" est affiché, peut importe les modifications apportées au code</t>
  </si>
  <si>
    <t>Administrateur s'affiche que lorsqu'on se trouve dans le disque dur du pc, lorsqu'on recherche sur une lecteur réseau, le nom de l'utilisateur fonctionne</t>
  </si>
  <si>
    <t>Essayer de créer un "treeview" personnalisé afin d'avoir un affichage plus clair pour l'utilisateur</t>
  </si>
  <si>
    <t>Ajout des données nécessaires, récupérer les valeurs de "tri" rentrées par l'utilisateur et essayer de filtrer pour n'afficher que ceux que l'utilisateur veut</t>
  </si>
  <si>
    <t>Un simple if ne fonctionne pas, il faudra trouver une autre solution</t>
  </si>
  <si>
    <t>Recherches d'autres méthodes de comparaison et de moyens de gérer le treeview</t>
  </si>
  <si>
    <t>Ajout d'un tri fonctionnel à l'aide du "contains()" et le rendre case insensitive avec le "ToLower()"</t>
  </si>
  <si>
    <t>Tri par date fonctionnel</t>
  </si>
  <si>
    <t>Période de mardi repoussée a mercredi</t>
  </si>
  <si>
    <t>Restructuration du code (DRY)</t>
  </si>
  <si>
    <t>Nouveau système de tri, afin de pouvoir refaire tous les tris à la fois. Correction du bug qui empêchait de lire les derniers fichiers</t>
  </si>
  <si>
    <t>Lorsque l'objet voulu n'était pas trouver, le code passait dans le else, et pour éviter d'afficher plusieurs fois "pas trouvé" on avait mis un brak, mais cela empêchait également de faire fonctionner la boucle correctement</t>
  </si>
  <si>
    <t>Ajout du tri par nom de fichier et extension</t>
  </si>
  <si>
    <t xml:space="preserve">Pour l'instant nous n'avons trouver aucune solution pour la lecture de fichiers pdf. Le temps d'éxécution de la lecture de wordest un peu longue. Nous ajouterons une fonctionnalité : la lecture ne se fera que lorsque une recherche par contenu se fera. </t>
  </si>
  <si>
    <t>2.5</t>
  </si>
  <si>
    <t>Remplir le journal de travail pour la semaine et rechercher de solutions pour les différents problèmes sur le net</t>
  </si>
  <si>
    <t>Brainstorming avec un autre groupe afin d'avoir une autre vision des choses et discuter de la structure du code</t>
  </si>
  <si>
    <t>Ajout de tri par contenu de fichier .doc et .docx +  lisible de base par File Class, sont actuellement disponibles. Les références pour power point et excel sont déjà installées</t>
  </si>
  <si>
    <t>Ajout de tri par contenu de fichiers .xls et .xlsx</t>
  </si>
  <si>
    <t xml:space="preserve">Journal de travail et trello </t>
  </si>
  <si>
    <t>Ajout de tri par contenu de fichiers .ppt et .pptx</t>
  </si>
  <si>
    <t>Les fichiers s'ouvrent sur le PC, la lecture est lente et le code crash régulièrement. La lecture par power point a été mise de côté, s'il reste du temps à la fin du projet nous la ferons</t>
  </si>
  <si>
    <t>Réfléxion avec jeremy pour la suite du projet, prédifinir les classes et retrier le code qui est encore utile</t>
  </si>
  <si>
    <t>Activitée avec notre maître de classe</t>
  </si>
  <si>
    <t>Recommencer une application de 0, et se servant des bouts de codes qui sont utiles</t>
  </si>
  <si>
    <t>Notre côde était trop lent et tout se trouvait sur une seule page, il est donc plus rapide de tout reprendre de zéro et améliorer certains détails plûtot que tout trié et séparer dans diverses classes</t>
  </si>
  <si>
    <t>Continuer la nouvelle application pour revenir à un état stable au plus vite</t>
  </si>
  <si>
    <t>Finir de remettre tout a jour. Les recherches multiples sont possibles, tout est trié par classe. Il ne reste plus qu'a rechercher par contenu et trouver un moyen de gagner un maximum de temps lors de la recherche</t>
  </si>
  <si>
    <t>Recherche sur les méthodes de lecture de fichiers au format excel</t>
  </si>
  <si>
    <t>La majorité des aides trouvées en ligne utilisait l'ouverture de fichier qui est trop lente et ne correspond pas a nos attentes</t>
  </si>
  <si>
    <t>Ajout d'une exclusion des formats a ne pas lire (dans le switch) afin d'éviter d'ouvrir les fichiers inutils</t>
  </si>
  <si>
    <t xml:space="preserve">Remplir le journal de travail </t>
  </si>
  <si>
    <t>Hors cours la selection de méthode de lecture a été faite via un switch et la lecture sur excel à été terminée</t>
  </si>
  <si>
    <t>Test sur d'autres PC et nettoyage des packages</t>
  </si>
  <si>
    <t>0.75</t>
  </si>
  <si>
    <t>0.25</t>
  </si>
  <si>
    <t>Aider un autre groupe</t>
  </si>
  <si>
    <t>Ajouter la lecture sur plusieurs pages excels, car seul la première page était lue</t>
  </si>
  <si>
    <t>Gestion des erreurs</t>
  </si>
  <si>
    <t>Test de l'application, et correction de bugs</t>
  </si>
  <si>
    <t>Modification des uses cases</t>
  </si>
  <si>
    <t>Modification du code permettant d'ouvrir le dossier. Un focus est fait sur le dossier</t>
  </si>
  <si>
    <t>Documentation de la reubrique test effectuées et tout retester plusieurs fois</t>
  </si>
  <si>
    <t>Réflexion sur les modifications visuelles possibles</t>
  </si>
  <si>
    <t>Modification de l'interface utilisateur plusieurs fois et essayer de mettre des couleurs</t>
  </si>
  <si>
    <t>Les couleurs et styles crées sur photoshop ont été abandonnés</t>
  </si>
  <si>
    <t>Faire correspondre les uses cases a la capture d'écran du produit final</t>
  </si>
  <si>
    <t xml:space="preserve">Dans la maquette tous les boutons ne s'y trouvent pas et on ne peut donc pas s'y référer </t>
  </si>
  <si>
    <t>Correction documentation et journal de travail</t>
  </si>
  <si>
    <t>Amélioration trello, paufinage doc, relecture, tests du logiciel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</si>
</sst>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
      <sz val="1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5">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7">
    <xf numFmtId="0" fontId="0" fillId="0" borderId="0" xfId="0"/>
    <xf numFmtId="0" fontId="0" fillId="0" borderId="0" xfId="0" applyAlignment="1">
      <alignment horizontal="left" vertical="center"/>
    </xf>
    <xf numFmtId="0" fontId="2" fillId="0" borderId="0" xfId="0" applyFont="1" applyAlignment="1">
      <alignment horizontal="left" vertical="center"/>
    </xf>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left" vertical="center" wrapText="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1" xfId="0" applyBorder="1" applyAlignment="1">
      <alignment horizontal="left" vertical="center" wrapText="1"/>
    </xf>
    <xf numFmtId="16" fontId="0" fillId="0" borderId="1" xfId="0" applyNumberFormat="1" applyBorder="1" applyAlignment="1" applyProtection="1">
      <alignment horizontal="center" vertical="center" wrapText="1"/>
      <protection locked="0"/>
    </xf>
    <xf numFmtId="1" fontId="0" fillId="0" borderId="1" xfId="0" applyNumberFormat="1" applyBorder="1" applyAlignment="1" applyProtection="1">
      <alignment horizontal="center" vertical="center" wrapText="1"/>
    </xf>
    <xf numFmtId="0" fontId="0" fillId="0" borderId="1" xfId="0" applyBorder="1" applyAlignment="1" applyProtection="1">
      <alignment horizontal="center" vertical="center" wrapText="1"/>
      <protection locked="0"/>
    </xf>
    <xf numFmtId="0" fontId="0" fillId="0" borderId="13" xfId="0" applyNumberFormat="1" applyBorder="1" applyAlignment="1" applyProtection="1">
      <alignment horizontal="center" vertical="center"/>
      <protection locked="0"/>
    </xf>
    <xf numFmtId="0" fontId="0" fillId="0" borderId="14" xfId="0" applyNumberFormat="1" applyBorder="1" applyAlignment="1" applyProtection="1">
      <alignment horizontal="center" vertical="center"/>
      <protection locked="0"/>
    </xf>
    <xf numFmtId="0" fontId="0" fillId="0" borderId="9" xfId="0" applyBorder="1" applyProtection="1">
      <protection locked="0"/>
    </xf>
    <xf numFmtId="49" fontId="0" fillId="0" borderId="1" xfId="0" applyNumberFormat="1" applyBorder="1" applyAlignment="1" applyProtection="1">
      <alignment horizontal="center" vertical="center" wrapText="1"/>
      <protection locked="0"/>
    </xf>
    <xf numFmtId="0" fontId="0" fillId="0" borderId="0" xfId="0" pivotButton="1"/>
    <xf numFmtId="0" fontId="0" fillId="0" borderId="0" xfId="0" applyNumberFormat="1"/>
    <xf numFmtId="0" fontId="5" fillId="0" borderId="0" xfId="0" applyNumberFormat="1" applyFont="1" applyFill="1"/>
    <xf numFmtId="49" fontId="0" fillId="0" borderId="0" xfId="0" applyNumberFormat="1" applyProtection="1">
      <protection locked="0"/>
    </xf>
    <xf numFmtId="0" fontId="0" fillId="0" borderId="7" xfId="0" applyBorder="1" applyAlignment="1" applyProtection="1">
      <alignment horizontal="center"/>
      <protection locked="0"/>
    </xf>
    <xf numFmtId="0" fontId="0" fillId="0" borderId="8" xfId="0" applyBorder="1" applyAlignment="1" applyProtection="1">
      <alignment horizontal="center"/>
      <protection locked="0"/>
    </xf>
    <xf numFmtId="0" fontId="0" fillId="0" borderId="5" xfId="0" applyBorder="1" applyAlignment="1">
      <alignment horizontal="center" vertical="center"/>
    </xf>
    <xf numFmtId="0" fontId="0" fillId="0" borderId="6" xfId="0" applyBorder="1" applyAlignment="1">
      <alignment horizontal="center" vertic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4" fillId="3" borderId="12"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1">
    <cellStyle name="Normal" xfId="0" builtinId="0"/>
  </cellStyles>
  <dxfs count="3">
    <dxf>
      <fill>
        <patternFill patternType="none">
          <bgColor auto="1"/>
        </patternFill>
      </fill>
    </dxf>
    <dxf>
      <fill>
        <patternFill patternType="solid">
          <bgColor rgb="FFFFFF00"/>
        </patternFill>
      </fill>
    </dxf>
    <dxf>
      <font>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431.625201967596" createdVersion="4" refreshedVersion="6" minRefreshableVersion="3" recordCount="41">
  <cacheSource type="worksheet">
    <worksheetSource ref="A1:D58" sheet="Journal"/>
  </cacheSource>
  <cacheFields count="4">
    <cacheField name="Jour" numFmtId="16">
      <sharedItems containsSemiMixedTypes="0" containsNonDate="0" containsDate="1" containsString="0" minDate="2018-01-01T00:00:00" maxDate="2018-11-28T00:00:00" count="45">
        <d v="2018-11-27T00:00:00"/>
        <d v="2018-11-22T00:00:00"/>
        <d v="2018-11-20T00:00:00"/>
        <d v="2018-11-16T00:00:00"/>
        <d v="2018-11-15T00:00:00"/>
        <d v="2018-11-09T00:00:00"/>
        <d v="2018-11-06T00:00:00"/>
        <d v="2018-11-02T00:00:00"/>
        <d v="2018-10-31T00:00:00"/>
        <d v="2018-10-12T00:00:00"/>
        <d v="2018-10-09T00:00:00"/>
        <d v="2018-10-05T00:00:00"/>
        <d v="2018-10-02T00:00:00"/>
        <d v="2018-09-28T00:00:00"/>
        <d v="2018-09-25T00:00:00"/>
        <d v="2018-09-14T00:00:00"/>
        <d v="2018-09-11T00:00:00"/>
        <d v="2018-09-07T00:00:00"/>
        <d v="2018-09-04T00:00:00"/>
        <d v="2018-08-31T00:00:00"/>
        <d v="2018-02-09T00:00:00" u="1"/>
        <d v="2018-02-28T00:00:00" u="1"/>
        <d v="2018-02-02T00:00:00" u="1"/>
        <d v="2018-03-07T00:00:00" u="1"/>
        <d v="2018-05-17T00:00:00" u="1"/>
        <d v="2018-02-14T00:00:00" u="1"/>
        <d v="2018-02-07T00:00:00" u="1"/>
        <d v="2018-05-22T00:00:00" u="1"/>
        <d v="2018-05-15T00:00:00" u="1"/>
        <d v="2018-05-08T00:00:00" u="1"/>
        <d v="2018-05-18T00:00:00" u="1"/>
        <d v="2018-03-01T00:00:00" u="1"/>
        <d v="2018-02-15T00:00:00" u="1"/>
        <d v="2018-02-08T00:00:00" u="1"/>
        <d v="2018-02-27T00:00:00" u="1"/>
        <d v="2018-02-01T00:00:00" u="1"/>
        <d v="2018-03-06T00:00:00" u="1"/>
        <d v="2018-05-16T00:00:00" u="1"/>
        <d v="2018-02-13T00:00:00" u="1"/>
        <d v="2018-05-09T00:00:00" u="1"/>
        <d v="2018-01-01T00:00:00" u="1"/>
        <d v="2018-02-06T00:00:00" u="1"/>
        <d v="2018-09-08T00:00:00" u="1"/>
        <d v="2018-03-02T00:00:00" u="1"/>
        <d v="2018-02-16T00:00:00" u="1"/>
      </sharedItems>
    </cacheField>
    <cacheField name="Semaine" numFmtId="1">
      <sharedItems containsSemiMixedTypes="0" containsString="0" containsNumber="1" containsInteger="1" minValue="35" maxValue="48"/>
    </cacheField>
    <cacheField name="Temps [période]" numFmtId="49">
      <sharedItems containsMixedTypes="1" containsNumber="1" containsInteger="1" minValue="1" maxValue="1"/>
    </cacheField>
    <cacheField name="Type" numFmtId="0">
      <sharedItems containsBlank="1" count="6">
        <s v="Implémentation"/>
        <s v="Absence"/>
        <s v="Documentation"/>
        <s v="Analyse"/>
        <s v="Tests"/>
        <m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1">
  <r>
    <x v="0"/>
    <n v="48"/>
    <s v="3"/>
    <x v="0"/>
  </r>
  <r>
    <x v="1"/>
    <n v="47"/>
    <s v="3"/>
    <x v="1"/>
  </r>
  <r>
    <x v="2"/>
    <n v="47"/>
    <s v="3"/>
    <x v="0"/>
  </r>
  <r>
    <x v="3"/>
    <n v="46"/>
    <s v="3"/>
    <x v="0"/>
  </r>
  <r>
    <x v="4"/>
    <n v="46"/>
    <s v="3"/>
    <x v="1"/>
  </r>
  <r>
    <x v="5"/>
    <n v="45"/>
    <s v="3"/>
    <x v="0"/>
  </r>
  <r>
    <x v="6"/>
    <n v="45"/>
    <s v="1.5"/>
    <x v="0"/>
  </r>
  <r>
    <x v="6"/>
    <n v="45"/>
    <s v="0.5"/>
    <x v="0"/>
  </r>
  <r>
    <x v="6"/>
    <n v="45"/>
    <s v="0.5"/>
    <x v="2"/>
  </r>
  <r>
    <x v="7"/>
    <n v="44"/>
    <s v="0.5"/>
    <x v="2"/>
  </r>
  <r>
    <x v="7"/>
    <n v="44"/>
    <s v="2.5"/>
    <x v="0"/>
  </r>
  <r>
    <x v="8"/>
    <n v="44"/>
    <s v="0.5"/>
    <x v="0"/>
  </r>
  <r>
    <x v="8"/>
    <n v="44"/>
    <s v="1"/>
    <x v="0"/>
  </r>
  <r>
    <x v="8"/>
    <n v="44"/>
    <s v="0.5"/>
    <x v="0"/>
  </r>
  <r>
    <x v="9"/>
    <n v="41"/>
    <s v="2"/>
    <x v="0"/>
  </r>
  <r>
    <x v="9"/>
    <n v="41"/>
    <s v="1"/>
    <x v="0"/>
  </r>
  <r>
    <x v="10"/>
    <n v="41"/>
    <s v="1"/>
    <x v="3"/>
  </r>
  <r>
    <x v="10"/>
    <n v="41"/>
    <s v="2"/>
    <x v="0"/>
  </r>
  <r>
    <x v="11"/>
    <n v="40"/>
    <s v="2"/>
    <x v="0"/>
  </r>
  <r>
    <x v="11"/>
    <n v="40"/>
    <s v="1"/>
    <x v="0"/>
  </r>
  <r>
    <x v="12"/>
    <n v="40"/>
    <s v="3"/>
    <x v="0"/>
  </r>
  <r>
    <x v="13"/>
    <n v="39"/>
    <s v="1"/>
    <x v="2"/>
  </r>
  <r>
    <x v="13"/>
    <n v="39"/>
    <s v="1"/>
    <x v="2"/>
  </r>
  <r>
    <x v="13"/>
    <n v="39"/>
    <s v="1"/>
    <x v="3"/>
  </r>
  <r>
    <x v="14"/>
    <n v="39"/>
    <s v="3"/>
    <x v="1"/>
  </r>
  <r>
    <x v="15"/>
    <n v="37"/>
    <s v="1"/>
    <x v="2"/>
  </r>
  <r>
    <x v="15"/>
    <n v="37"/>
    <s v="0.5"/>
    <x v="2"/>
  </r>
  <r>
    <x v="15"/>
    <n v="37"/>
    <s v="1.5"/>
    <x v="4"/>
  </r>
  <r>
    <x v="16"/>
    <n v="37"/>
    <s v="1"/>
    <x v="1"/>
  </r>
  <r>
    <x v="16"/>
    <n v="37"/>
    <s v="0.5"/>
    <x v="2"/>
  </r>
  <r>
    <x v="16"/>
    <n v="37"/>
    <s v="1.5"/>
    <x v="2"/>
  </r>
  <r>
    <x v="17"/>
    <n v="36"/>
    <s v="0.5"/>
    <x v="2"/>
  </r>
  <r>
    <x v="17"/>
    <n v="36"/>
    <s v="1"/>
    <x v="2"/>
  </r>
  <r>
    <x v="17"/>
    <n v="36"/>
    <s v="1.5"/>
    <x v="2"/>
  </r>
  <r>
    <x v="18"/>
    <n v="36"/>
    <s v="0.5"/>
    <x v="2"/>
  </r>
  <r>
    <x v="18"/>
    <n v="36"/>
    <s v="0.5"/>
    <x v="3"/>
  </r>
  <r>
    <x v="18"/>
    <n v="36"/>
    <s v="0.5"/>
    <x v="3"/>
  </r>
  <r>
    <x v="18"/>
    <n v="36"/>
    <s v="2"/>
    <x v="3"/>
  </r>
  <r>
    <x v="19"/>
    <n v="35"/>
    <n v="1"/>
    <x v="3"/>
  </r>
  <r>
    <x v="19"/>
    <n v="35"/>
    <n v="1"/>
    <x v="3"/>
  </r>
  <r>
    <x v="19"/>
    <n v="35"/>
    <n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G25" firstHeaderRow="1" firstDataRow="2" firstDataCol="1"/>
  <pivotFields count="4">
    <pivotField axis="axisRow" numFmtId="16" showAll="0" defaultSubtotal="0">
      <items count="45">
        <item sd="0" m="1" x="40"/>
        <item sd="0" m="1" x="33"/>
        <item sd="0" m="1" x="26"/>
        <item sd="0" m="1" x="41"/>
        <item sd="0" m="1" x="22"/>
        <item sd="0" m="1" x="35"/>
        <item sd="0" m="1" x="44"/>
        <item sd="0" m="1" x="32"/>
        <item sd="0" m="1" x="25"/>
        <item sd="0" m="1" x="38"/>
        <item sd="0" m="1" x="20"/>
        <item sd="0" m="1" x="34"/>
        <item sd="0" m="1" x="21"/>
        <item sd="0" m="1" x="43"/>
        <item sd="0" m="1" x="31"/>
        <item sd="0" m="1" x="23"/>
        <item sd="0" m="1" x="36"/>
        <item sd="0" m="1" x="28"/>
        <item sd="0" m="1" x="39"/>
        <item sd="0" m="1" x="29"/>
        <item sd="0" m="1" x="24"/>
        <item sd="0" m="1" x="37"/>
        <item sd="0" m="1" x="27"/>
        <item sd="0" m="1" x="30"/>
        <item m="1" x="42"/>
        <item x="19"/>
        <item x="18"/>
        <item x="7"/>
        <item x="8"/>
        <item x="9"/>
        <item x="10"/>
        <item x="11"/>
        <item x="12"/>
        <item x="13"/>
        <item x="14"/>
        <item x="15"/>
        <item x="16"/>
        <item x="17"/>
        <item x="6"/>
        <item x="0"/>
        <item x="1"/>
        <item x="2"/>
        <item x="3"/>
        <item x="4"/>
        <item x="5"/>
      </items>
    </pivotField>
    <pivotField showAll="0"/>
    <pivotField dataField="1" showAll="0" defaultSubtotal="0"/>
    <pivotField axis="axisCol" showAll="0">
      <items count="7">
        <item x="2"/>
        <item x="0"/>
        <item x="3"/>
        <item x="4"/>
        <item m="1" x="5"/>
        <item x="1"/>
        <item t="default"/>
      </items>
    </pivotField>
  </pivotFields>
  <rowFields count="1">
    <field x="0"/>
  </rowFields>
  <rowItems count="21">
    <i>
      <x v="25"/>
    </i>
    <i>
      <x v="26"/>
    </i>
    <i>
      <x v="27"/>
    </i>
    <i>
      <x v="28"/>
    </i>
    <i>
      <x v="29"/>
    </i>
    <i>
      <x v="30"/>
    </i>
    <i>
      <x v="31"/>
    </i>
    <i>
      <x v="32"/>
    </i>
    <i>
      <x v="33"/>
    </i>
    <i>
      <x v="34"/>
    </i>
    <i>
      <x v="35"/>
    </i>
    <i>
      <x v="36"/>
    </i>
    <i>
      <x v="37"/>
    </i>
    <i>
      <x v="38"/>
    </i>
    <i>
      <x v="39"/>
    </i>
    <i>
      <x v="40"/>
    </i>
    <i>
      <x v="41"/>
    </i>
    <i>
      <x v="42"/>
    </i>
    <i>
      <x v="43"/>
    </i>
    <i>
      <x v="44"/>
    </i>
    <i t="grand">
      <x/>
    </i>
  </rowItems>
  <colFields count="1">
    <field x="3"/>
  </colFields>
  <colItems count="6">
    <i>
      <x/>
    </i>
    <i>
      <x v="1"/>
    </i>
    <i>
      <x v="2"/>
    </i>
    <i>
      <x v="3"/>
    </i>
    <i>
      <x v="5"/>
    </i>
    <i t="grand">
      <x/>
    </i>
  </colItems>
  <dataFields count="1">
    <dataField name="Nombre de Temps [période]" fld="2" subtotal="count" baseField="0" baseItem="0"/>
  </dataFields>
  <formats count="3">
    <format dxfId="2">
      <pivotArea collapsedLevelsAreSubtotals="1" fieldPosition="0">
        <references count="1">
          <reference field="0" count="0"/>
        </references>
      </pivotArea>
    </format>
    <format dxfId="1">
      <pivotArea collapsedLevelsAreSubtotals="1" fieldPosition="0">
        <references count="1">
          <reference field="0" count="0"/>
        </references>
      </pivotArea>
    </format>
    <format dxfId="0">
      <pivotArea collapsedLevelsAreSubtotals="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66"/>
  <sheetViews>
    <sheetView tabSelected="1" workbookViewId="0">
      <selection activeCell="H5" sqref="H5"/>
    </sheetView>
  </sheetViews>
  <sheetFormatPr baseColWidth="10" defaultColWidth="9.140625" defaultRowHeight="15" x14ac:dyDescent="0.25"/>
  <cols>
    <col min="1" max="1" width="7.85546875" style="5" bestFit="1" customWidth="1"/>
    <col min="2" max="2" width="8.140625" style="13" bestFit="1" customWidth="1"/>
    <col min="3" max="3" width="17" style="10" bestFit="1" customWidth="1"/>
    <col min="4" max="4" width="15.42578125" style="5" bestFit="1" customWidth="1"/>
    <col min="5" max="5" width="45.5703125" style="11" customWidth="1"/>
    <col min="6" max="6" width="48.7109375" style="11" customWidth="1"/>
    <col min="7" max="10" width="9.140625" style="8"/>
    <col min="11" max="11" width="19.85546875" style="8" customWidth="1"/>
    <col min="12" max="16384" width="9.140625" style="8"/>
  </cols>
  <sheetData>
    <row r="1" spans="1:10" ht="24" customHeight="1" x14ac:dyDescent="0.25">
      <c r="A1" s="4" t="s">
        <v>2</v>
      </c>
      <c r="B1" s="12" t="s">
        <v>11</v>
      </c>
      <c r="C1" s="6" t="s">
        <v>17</v>
      </c>
      <c r="D1" s="4" t="s">
        <v>3</v>
      </c>
      <c r="E1" s="7" t="s">
        <v>0</v>
      </c>
      <c r="F1" s="7" t="s">
        <v>1</v>
      </c>
    </row>
    <row r="2" spans="1:10" ht="30" x14ac:dyDescent="0.25">
      <c r="A2" s="15">
        <v>43447</v>
      </c>
      <c r="B2" s="16">
        <f t="shared" ref="B2" si="0">WEEKNUM(A2)</f>
        <v>50</v>
      </c>
      <c r="C2" s="21" t="s">
        <v>39</v>
      </c>
      <c r="D2" s="17" t="s">
        <v>8</v>
      </c>
      <c r="E2" s="14" t="s">
        <v>96</v>
      </c>
      <c r="F2" s="9"/>
    </row>
    <row r="3" spans="1:10" x14ac:dyDescent="0.25">
      <c r="A3" s="15">
        <v>43445</v>
      </c>
      <c r="B3" s="16">
        <f t="shared" ref="B3" si="1">WEEKNUM(A3)</f>
        <v>50</v>
      </c>
      <c r="C3" s="21" t="s">
        <v>32</v>
      </c>
      <c r="D3" s="17" t="s">
        <v>8</v>
      </c>
      <c r="E3" s="14" t="s">
        <v>95</v>
      </c>
      <c r="F3" s="9"/>
    </row>
    <row r="4" spans="1:10" ht="30" x14ac:dyDescent="0.25">
      <c r="A4" s="15">
        <v>43445</v>
      </c>
      <c r="B4" s="16">
        <f t="shared" ref="B4" si="2">WEEKNUM(A4)</f>
        <v>50</v>
      </c>
      <c r="C4" s="21" t="s">
        <v>32</v>
      </c>
      <c r="D4" s="17" t="s">
        <v>8</v>
      </c>
      <c r="E4" s="14" t="s">
        <v>93</v>
      </c>
      <c r="F4" s="9" t="s">
        <v>94</v>
      </c>
    </row>
    <row r="5" spans="1:10" ht="30" x14ac:dyDescent="0.25">
      <c r="A5" s="15">
        <v>43445</v>
      </c>
      <c r="B5" s="16">
        <f t="shared" ref="B5" si="3">WEEKNUM(A5)</f>
        <v>50</v>
      </c>
      <c r="C5" s="21" t="s">
        <v>32</v>
      </c>
      <c r="D5" s="17" t="s">
        <v>6</v>
      </c>
      <c r="E5" s="14" t="s">
        <v>91</v>
      </c>
      <c r="F5" s="9" t="s">
        <v>92</v>
      </c>
    </row>
    <row r="6" spans="1:10" ht="30" x14ac:dyDescent="0.25">
      <c r="A6" s="15">
        <v>43440</v>
      </c>
      <c r="B6" s="16">
        <f t="shared" ref="B6" si="4">WEEKNUM(A6)</f>
        <v>49</v>
      </c>
      <c r="C6" s="21" t="s">
        <v>26</v>
      </c>
      <c r="D6" s="17" t="s">
        <v>5</v>
      </c>
      <c r="E6" s="14" t="s">
        <v>90</v>
      </c>
      <c r="F6" s="9"/>
    </row>
    <row r="7" spans="1:10" ht="30" x14ac:dyDescent="0.25">
      <c r="A7" s="15">
        <v>43440</v>
      </c>
      <c r="B7" s="16">
        <f t="shared" ref="B7" si="5">WEEKNUM(A7)</f>
        <v>49</v>
      </c>
      <c r="C7" s="21" t="s">
        <v>34</v>
      </c>
      <c r="D7" s="17" t="s">
        <v>8</v>
      </c>
      <c r="E7" s="14" t="s">
        <v>89</v>
      </c>
      <c r="F7" s="9"/>
    </row>
    <row r="8" spans="1:10" ht="30" x14ac:dyDescent="0.25">
      <c r="A8" s="15">
        <v>43440</v>
      </c>
      <c r="B8" s="16">
        <f t="shared" ref="B8" si="6">WEEKNUM(A8)</f>
        <v>49</v>
      </c>
      <c r="C8" s="21" t="s">
        <v>26</v>
      </c>
      <c r="D8" s="17" t="s">
        <v>6</v>
      </c>
      <c r="E8" s="14" t="s">
        <v>88</v>
      </c>
      <c r="F8" s="9"/>
    </row>
    <row r="9" spans="1:10" x14ac:dyDescent="0.25">
      <c r="A9" s="15">
        <v>43440</v>
      </c>
      <c r="B9" s="16">
        <f t="shared" ref="B9" si="7">WEEKNUM(A9)</f>
        <v>49</v>
      </c>
      <c r="C9" s="21" t="s">
        <v>32</v>
      </c>
      <c r="D9" s="17" t="s">
        <v>8</v>
      </c>
      <c r="E9" s="14" t="s">
        <v>87</v>
      </c>
      <c r="F9" s="9"/>
    </row>
    <row r="10" spans="1:10" x14ac:dyDescent="0.25">
      <c r="A10" s="15">
        <v>43440</v>
      </c>
      <c r="B10" s="16">
        <f t="shared" ref="B10" si="8">WEEKNUM(A10)</f>
        <v>49</v>
      </c>
      <c r="C10" s="21" t="s">
        <v>34</v>
      </c>
      <c r="D10" s="17" t="s">
        <v>6</v>
      </c>
      <c r="E10" s="14" t="s">
        <v>86</v>
      </c>
      <c r="F10" s="9"/>
    </row>
    <row r="11" spans="1:10" x14ac:dyDescent="0.25">
      <c r="A11" s="15">
        <v>43438</v>
      </c>
      <c r="B11" s="16">
        <f t="shared" ref="B11" si="9">WEEKNUM(A11)</f>
        <v>49</v>
      </c>
      <c r="C11" s="21" t="s">
        <v>32</v>
      </c>
      <c r="D11" s="17" t="s">
        <v>6</v>
      </c>
      <c r="E11" s="14" t="s">
        <v>85</v>
      </c>
      <c r="F11" s="9"/>
    </row>
    <row r="12" spans="1:10" ht="30" x14ac:dyDescent="0.25">
      <c r="A12" s="15">
        <v>43438</v>
      </c>
      <c r="B12" s="16">
        <f t="shared" ref="B12" si="10">WEEKNUM(A12)</f>
        <v>49</v>
      </c>
      <c r="C12" s="21" t="s">
        <v>81</v>
      </c>
      <c r="D12" s="17" t="s">
        <v>6</v>
      </c>
      <c r="E12" s="14" t="s">
        <v>84</v>
      </c>
      <c r="F12" s="9"/>
    </row>
    <row r="13" spans="1:10" x14ac:dyDescent="0.25">
      <c r="A13" s="15">
        <v>43438</v>
      </c>
      <c r="B13" s="16">
        <f t="shared" ref="B13" si="11">WEEKNUM(A13)</f>
        <v>49</v>
      </c>
      <c r="C13" s="21" t="s">
        <v>82</v>
      </c>
      <c r="D13" s="17" t="s">
        <v>6</v>
      </c>
      <c r="E13" s="14" t="s">
        <v>83</v>
      </c>
      <c r="F13" s="9"/>
    </row>
    <row r="14" spans="1:10" x14ac:dyDescent="0.25">
      <c r="A14" s="15">
        <v>43438</v>
      </c>
      <c r="B14" s="16">
        <f t="shared" ref="B14" si="12">WEEKNUM(A14)</f>
        <v>49</v>
      </c>
      <c r="C14" s="21" t="s">
        <v>26</v>
      </c>
      <c r="D14" s="17" t="s">
        <v>7</v>
      </c>
      <c r="E14" s="14" t="s">
        <v>80</v>
      </c>
      <c r="F14" s="9"/>
    </row>
    <row r="15" spans="1:10" x14ac:dyDescent="0.25">
      <c r="A15" s="15">
        <v>43438</v>
      </c>
      <c r="B15" s="16">
        <f t="shared" ref="B15" si="13">WEEKNUM(A15)</f>
        <v>49</v>
      </c>
      <c r="C15" s="21" t="s">
        <v>26</v>
      </c>
      <c r="D15" s="17" t="s">
        <v>5</v>
      </c>
      <c r="E15" s="14" t="s">
        <v>78</v>
      </c>
      <c r="F15" s="9"/>
      <c r="J15" s="25"/>
    </row>
    <row r="16" spans="1:10" ht="45" x14ac:dyDescent="0.25">
      <c r="A16" s="15">
        <v>43438</v>
      </c>
      <c r="B16" s="16">
        <f t="shared" ref="B16" si="14">WEEKNUM(A16)</f>
        <v>49</v>
      </c>
      <c r="C16" s="21" t="s">
        <v>32</v>
      </c>
      <c r="D16" s="17" t="s">
        <v>6</v>
      </c>
      <c r="E16" s="14" t="s">
        <v>77</v>
      </c>
      <c r="F16" s="9" t="s">
        <v>79</v>
      </c>
    </row>
    <row r="17" spans="1:6" ht="45" x14ac:dyDescent="0.25">
      <c r="A17" s="15">
        <v>43433</v>
      </c>
      <c r="B17" s="16">
        <f t="shared" ref="B17" si="15">WEEKNUM(A17)</f>
        <v>48</v>
      </c>
      <c r="C17" s="21" t="s">
        <v>39</v>
      </c>
      <c r="D17" s="17" t="s">
        <v>5</v>
      </c>
      <c r="E17" s="14" t="s">
        <v>75</v>
      </c>
      <c r="F17" s="9" t="s">
        <v>76</v>
      </c>
    </row>
    <row r="18" spans="1:6" ht="75" x14ac:dyDescent="0.25">
      <c r="A18" s="15">
        <v>43431</v>
      </c>
      <c r="B18" s="16">
        <f t="shared" ref="B18" si="16">WEEKNUM(A18)</f>
        <v>48</v>
      </c>
      <c r="C18" s="21" t="s">
        <v>39</v>
      </c>
      <c r="D18" s="17" t="s">
        <v>6</v>
      </c>
      <c r="E18" s="14" t="s">
        <v>74</v>
      </c>
      <c r="F18" s="9"/>
    </row>
    <row r="19" spans="1:6" x14ac:dyDescent="0.25">
      <c r="A19" s="15">
        <v>43426</v>
      </c>
      <c r="B19" s="16">
        <f t="shared" ref="B19" si="17">WEEKNUM(A19)</f>
        <v>47</v>
      </c>
      <c r="C19" s="21" t="s">
        <v>39</v>
      </c>
      <c r="D19" s="17" t="s">
        <v>9</v>
      </c>
      <c r="E19" s="14" t="s">
        <v>70</v>
      </c>
      <c r="F19" s="9"/>
    </row>
    <row r="20" spans="1:6" ht="30" x14ac:dyDescent="0.25">
      <c r="A20" s="15">
        <v>43424</v>
      </c>
      <c r="B20" s="16">
        <f t="shared" ref="B20" si="18">WEEKNUM(A20)</f>
        <v>47</v>
      </c>
      <c r="C20" s="21" t="s">
        <v>39</v>
      </c>
      <c r="D20" s="17" t="s">
        <v>6</v>
      </c>
      <c r="E20" s="14" t="s">
        <v>73</v>
      </c>
      <c r="F20" s="9"/>
    </row>
    <row r="21" spans="1:6" ht="60" x14ac:dyDescent="0.25">
      <c r="A21" s="15">
        <v>43420</v>
      </c>
      <c r="B21" s="16">
        <f t="shared" ref="B21" si="19">WEEKNUM(A21)</f>
        <v>46</v>
      </c>
      <c r="C21" s="21" t="s">
        <v>39</v>
      </c>
      <c r="D21" s="17" t="s">
        <v>6</v>
      </c>
      <c r="E21" s="14" t="s">
        <v>71</v>
      </c>
      <c r="F21" s="9" t="s">
        <v>72</v>
      </c>
    </row>
    <row r="22" spans="1:6" x14ac:dyDescent="0.25">
      <c r="A22" s="15">
        <v>43419</v>
      </c>
      <c r="B22" s="16">
        <f t="shared" ref="B22" si="20">WEEKNUM(A22)</f>
        <v>46</v>
      </c>
      <c r="C22" s="21" t="s">
        <v>39</v>
      </c>
      <c r="D22" s="17" t="s">
        <v>9</v>
      </c>
      <c r="E22" s="14" t="s">
        <v>70</v>
      </c>
      <c r="F22" s="9"/>
    </row>
    <row r="23" spans="1:6" ht="45" x14ac:dyDescent="0.25">
      <c r="A23" s="15">
        <v>43413</v>
      </c>
      <c r="B23" s="16">
        <f t="shared" ref="B23" si="21">WEEKNUM(A23)</f>
        <v>45</v>
      </c>
      <c r="C23" s="21" t="s">
        <v>39</v>
      </c>
      <c r="D23" s="17" t="s">
        <v>6</v>
      </c>
      <c r="E23" s="14" t="s">
        <v>69</v>
      </c>
      <c r="F23" s="9"/>
    </row>
    <row r="24" spans="1:6" ht="60" x14ac:dyDescent="0.25">
      <c r="A24" s="15">
        <v>43410</v>
      </c>
      <c r="B24" s="16">
        <f t="shared" ref="B24" si="22">WEEKNUM(A24)</f>
        <v>45</v>
      </c>
      <c r="C24" s="21" t="s">
        <v>34</v>
      </c>
      <c r="D24" s="17" t="s">
        <v>6</v>
      </c>
      <c r="E24" s="14" t="s">
        <v>67</v>
      </c>
      <c r="F24" s="9" t="s">
        <v>68</v>
      </c>
    </row>
    <row r="25" spans="1:6" x14ac:dyDescent="0.25">
      <c r="A25" s="15">
        <v>43410</v>
      </c>
      <c r="B25" s="16">
        <f t="shared" ref="B25" si="23">WEEKNUM(A25)</f>
        <v>45</v>
      </c>
      <c r="C25" s="21" t="s">
        <v>26</v>
      </c>
      <c r="D25" s="17" t="s">
        <v>6</v>
      </c>
      <c r="E25" s="14" t="s">
        <v>65</v>
      </c>
      <c r="F25" s="9"/>
    </row>
    <row r="26" spans="1:6" x14ac:dyDescent="0.25">
      <c r="A26" s="15">
        <v>43410</v>
      </c>
      <c r="B26" s="16">
        <f t="shared" ref="B26" si="24">WEEKNUM(A26)</f>
        <v>45</v>
      </c>
      <c r="C26" s="21" t="s">
        <v>26</v>
      </c>
      <c r="D26" s="17" t="s">
        <v>8</v>
      </c>
      <c r="E26" s="14" t="s">
        <v>66</v>
      </c>
      <c r="F26" s="9"/>
    </row>
    <row r="27" spans="1:6" ht="45" x14ac:dyDescent="0.25">
      <c r="A27" s="15">
        <v>43406</v>
      </c>
      <c r="B27" s="16">
        <f t="shared" ref="B27" si="25">WEEKNUM(A27)</f>
        <v>44</v>
      </c>
      <c r="C27" s="21" t="s">
        <v>26</v>
      </c>
      <c r="D27" s="17" t="s">
        <v>8</v>
      </c>
      <c r="E27" s="14" t="s">
        <v>62</v>
      </c>
      <c r="F27" s="9"/>
    </row>
    <row r="28" spans="1:6" ht="75" x14ac:dyDescent="0.25">
      <c r="A28" s="15">
        <v>43406</v>
      </c>
      <c r="B28" s="16">
        <f t="shared" ref="B28" si="26">WEEKNUM(A28)</f>
        <v>44</v>
      </c>
      <c r="C28" s="21" t="s">
        <v>61</v>
      </c>
      <c r="D28" s="17" t="s">
        <v>6</v>
      </c>
      <c r="E28" s="14" t="s">
        <v>64</v>
      </c>
      <c r="F28" s="9" t="s">
        <v>60</v>
      </c>
    </row>
    <row r="29" spans="1:6" x14ac:dyDescent="0.25">
      <c r="A29" s="15">
        <v>43404</v>
      </c>
      <c r="B29" s="16">
        <f t="shared" ref="B29" si="27">WEEKNUM(A29)</f>
        <v>44</v>
      </c>
      <c r="C29" s="21" t="s">
        <v>26</v>
      </c>
      <c r="D29" s="17" t="s">
        <v>6</v>
      </c>
      <c r="E29" s="14" t="s">
        <v>59</v>
      </c>
      <c r="F29" s="9"/>
    </row>
    <row r="30" spans="1:6" ht="75" x14ac:dyDescent="0.25">
      <c r="A30" s="15">
        <v>43404</v>
      </c>
      <c r="B30" s="16">
        <f t="shared" ref="B30" si="28">WEEKNUM(A30)</f>
        <v>44</v>
      </c>
      <c r="C30" s="21" t="s">
        <v>32</v>
      </c>
      <c r="D30" s="17" t="s">
        <v>6</v>
      </c>
      <c r="E30" s="14" t="s">
        <v>57</v>
      </c>
      <c r="F30" s="9" t="s">
        <v>58</v>
      </c>
    </row>
    <row r="31" spans="1:6" x14ac:dyDescent="0.25">
      <c r="A31" s="15">
        <v>43404</v>
      </c>
      <c r="B31" s="16">
        <f t="shared" ref="B31" si="29">WEEKNUM(A31)</f>
        <v>44</v>
      </c>
      <c r="C31" s="21" t="s">
        <v>26</v>
      </c>
      <c r="D31" s="17" t="s">
        <v>6</v>
      </c>
      <c r="E31" s="14" t="s">
        <v>56</v>
      </c>
      <c r="F31" s="9" t="s">
        <v>55</v>
      </c>
    </row>
    <row r="32" spans="1:6" x14ac:dyDescent="0.25">
      <c r="A32" s="15">
        <v>43385</v>
      </c>
      <c r="B32" s="16">
        <f t="shared" ref="B32" si="30">WEEKNUM(A32)</f>
        <v>41</v>
      </c>
      <c r="C32" s="21" t="s">
        <v>25</v>
      </c>
      <c r="D32" s="17" t="s">
        <v>6</v>
      </c>
      <c r="E32" s="14" t="s">
        <v>54</v>
      </c>
      <c r="F32" s="9"/>
    </row>
    <row r="33" spans="1:8" ht="30" x14ac:dyDescent="0.25">
      <c r="A33" s="15">
        <v>43385</v>
      </c>
      <c r="B33" s="16">
        <f t="shared" ref="B33" si="31">WEEKNUM(A33)</f>
        <v>41</v>
      </c>
      <c r="C33" s="21" t="s">
        <v>32</v>
      </c>
      <c r="D33" s="17" t="s">
        <v>6</v>
      </c>
      <c r="E33" s="14" t="s">
        <v>53</v>
      </c>
      <c r="F33" s="9"/>
    </row>
    <row r="34" spans="1:8" ht="30" x14ac:dyDescent="0.25">
      <c r="A34" s="15">
        <v>43382</v>
      </c>
      <c r="B34" s="16">
        <f t="shared" ref="B34" si="32">WEEKNUM(A34)</f>
        <v>41</v>
      </c>
      <c r="C34" s="21" t="s">
        <v>32</v>
      </c>
      <c r="D34" s="17" t="s">
        <v>5</v>
      </c>
      <c r="E34" s="14" t="s">
        <v>52</v>
      </c>
      <c r="F34" s="9"/>
    </row>
    <row r="35" spans="1:8" ht="60" x14ac:dyDescent="0.25">
      <c r="A35" s="15">
        <v>43382</v>
      </c>
      <c r="B35" s="16">
        <f t="shared" ref="B35" si="33">WEEKNUM(A35)</f>
        <v>41</v>
      </c>
      <c r="C35" s="21" t="s">
        <v>25</v>
      </c>
      <c r="D35" s="17" t="s">
        <v>6</v>
      </c>
      <c r="E35" s="14" t="s">
        <v>50</v>
      </c>
      <c r="F35" s="9" t="s">
        <v>51</v>
      </c>
    </row>
    <row r="36" spans="1:8" ht="30" x14ac:dyDescent="0.25">
      <c r="A36" s="15">
        <v>43378</v>
      </c>
      <c r="B36" s="16">
        <f t="shared" ref="B36" si="34">WEEKNUM(A36)</f>
        <v>40</v>
      </c>
      <c r="C36" s="21" t="s">
        <v>25</v>
      </c>
      <c r="D36" s="17" t="s">
        <v>6</v>
      </c>
      <c r="E36" s="14" t="s">
        <v>49</v>
      </c>
      <c r="F36" s="9"/>
    </row>
    <row r="37" spans="1:8" ht="60" x14ac:dyDescent="0.25">
      <c r="A37" s="15">
        <v>43378</v>
      </c>
      <c r="B37" s="16">
        <f t="shared" ref="B37" si="35">WEEKNUM(A37)</f>
        <v>40</v>
      </c>
      <c r="C37" s="21" t="s">
        <v>32</v>
      </c>
      <c r="D37" s="17" t="s">
        <v>6</v>
      </c>
      <c r="E37" s="14" t="s">
        <v>46</v>
      </c>
      <c r="F37" s="9" t="s">
        <v>48</v>
      </c>
    </row>
    <row r="38" spans="1:8" ht="30" x14ac:dyDescent="0.25">
      <c r="A38" s="15">
        <v>43375</v>
      </c>
      <c r="B38" s="16">
        <f t="shared" ref="B38" si="36">WEEKNUM(A38)</f>
        <v>40</v>
      </c>
      <c r="C38" s="21" t="s">
        <v>39</v>
      </c>
      <c r="D38" s="17" t="s">
        <v>6</v>
      </c>
      <c r="E38" s="14" t="s">
        <v>46</v>
      </c>
      <c r="F38" s="9" t="s">
        <v>47</v>
      </c>
    </row>
    <row r="39" spans="1:8" x14ac:dyDescent="0.25">
      <c r="A39" s="15">
        <v>43371</v>
      </c>
      <c r="B39" s="16">
        <f t="shared" ref="B39" si="37">WEEKNUM(A39)</f>
        <v>39</v>
      </c>
      <c r="C39" s="21" t="s">
        <v>32</v>
      </c>
      <c r="D39" s="17" t="s">
        <v>8</v>
      </c>
      <c r="E39" s="14" t="s">
        <v>45</v>
      </c>
      <c r="F39" s="9" t="s">
        <v>44</v>
      </c>
    </row>
    <row r="40" spans="1:8" x14ac:dyDescent="0.25">
      <c r="A40" s="15">
        <v>43371</v>
      </c>
      <c r="B40" s="16">
        <f t="shared" ref="B40" si="38">WEEKNUM(A40)</f>
        <v>39</v>
      </c>
      <c r="C40" s="21" t="s">
        <v>32</v>
      </c>
      <c r="D40" s="17" t="s">
        <v>8</v>
      </c>
      <c r="E40" s="14" t="s">
        <v>43</v>
      </c>
      <c r="F40" s="9" t="s">
        <v>44</v>
      </c>
    </row>
    <row r="41" spans="1:8" ht="45" x14ac:dyDescent="0.25">
      <c r="A41" s="15">
        <v>43371</v>
      </c>
      <c r="B41" s="16">
        <f t="shared" ref="B41" si="39">WEEKNUM(A41)</f>
        <v>39</v>
      </c>
      <c r="C41" s="21" t="s">
        <v>32</v>
      </c>
      <c r="D41" s="17" t="s">
        <v>5</v>
      </c>
      <c r="E41" s="14" t="s">
        <v>63</v>
      </c>
      <c r="F41" s="9"/>
    </row>
    <row r="42" spans="1:8" x14ac:dyDescent="0.25">
      <c r="A42" s="15">
        <v>43368</v>
      </c>
      <c r="B42" s="16">
        <f t="shared" ref="B42" si="40">WEEKNUM(A42)</f>
        <v>39</v>
      </c>
      <c r="C42" s="21" t="s">
        <v>39</v>
      </c>
      <c r="D42" s="17" t="s">
        <v>9</v>
      </c>
      <c r="E42" s="14"/>
      <c r="F42" s="9"/>
    </row>
    <row r="43" spans="1:8" x14ac:dyDescent="0.25">
      <c r="A43" s="15">
        <v>43357</v>
      </c>
      <c r="B43" s="16">
        <f t="shared" ref="B43" si="41">WEEKNUM(A43)</f>
        <v>37</v>
      </c>
      <c r="C43" s="21" t="s">
        <v>32</v>
      </c>
      <c r="D43" s="17" t="s">
        <v>8</v>
      </c>
      <c r="E43" s="14" t="s">
        <v>42</v>
      </c>
      <c r="F43" s="9"/>
    </row>
    <row r="44" spans="1:8" ht="30" x14ac:dyDescent="0.25">
      <c r="A44" s="15">
        <v>43357</v>
      </c>
      <c r="B44" s="16">
        <f t="shared" ref="B44" si="42">WEEKNUM(A44)</f>
        <v>37</v>
      </c>
      <c r="C44" s="21" t="s">
        <v>26</v>
      </c>
      <c r="D44" s="17" t="s">
        <v>8</v>
      </c>
      <c r="E44" s="14" t="s">
        <v>41</v>
      </c>
      <c r="F44" s="9"/>
      <c r="H44" s="25"/>
    </row>
    <row r="45" spans="1:8" x14ac:dyDescent="0.25">
      <c r="A45" s="15">
        <v>43357</v>
      </c>
      <c r="B45" s="16">
        <f t="shared" ref="B45" si="43">WEEKNUM(A45)</f>
        <v>37</v>
      </c>
      <c r="C45" s="21" t="s">
        <v>34</v>
      </c>
      <c r="D45" s="17" t="s">
        <v>7</v>
      </c>
      <c r="E45" s="14" t="s">
        <v>40</v>
      </c>
      <c r="F45" s="9"/>
    </row>
    <row r="46" spans="1:8" x14ac:dyDescent="0.25">
      <c r="A46" s="15">
        <v>43354</v>
      </c>
      <c r="B46" s="16">
        <f t="shared" ref="B46" si="44">WEEKNUM(A46)</f>
        <v>37</v>
      </c>
      <c r="C46" s="21" t="s">
        <v>32</v>
      </c>
      <c r="D46" s="17" t="s">
        <v>9</v>
      </c>
      <c r="E46" s="14" t="s">
        <v>38</v>
      </c>
      <c r="F46" s="9"/>
    </row>
    <row r="47" spans="1:8" ht="45" x14ac:dyDescent="0.25">
      <c r="A47" s="15">
        <v>43354</v>
      </c>
      <c r="B47" s="16">
        <f t="shared" ref="B47" si="45">WEEKNUM(A47)</f>
        <v>37</v>
      </c>
      <c r="C47" s="21" t="s">
        <v>26</v>
      </c>
      <c r="D47" s="17" t="s">
        <v>8</v>
      </c>
      <c r="E47" s="14" t="s">
        <v>37</v>
      </c>
      <c r="F47" s="9"/>
    </row>
    <row r="48" spans="1:8" x14ac:dyDescent="0.25">
      <c r="A48" s="15">
        <v>43354</v>
      </c>
      <c r="B48" s="16">
        <f t="shared" ref="B48" si="46">WEEKNUM(A48)</f>
        <v>37</v>
      </c>
      <c r="C48" s="21" t="s">
        <v>34</v>
      </c>
      <c r="D48" s="17" t="s">
        <v>8</v>
      </c>
      <c r="E48" s="14" t="s">
        <v>36</v>
      </c>
      <c r="F48" s="9"/>
    </row>
    <row r="49" spans="1:11" x14ac:dyDescent="0.25">
      <c r="A49" s="15">
        <v>43350</v>
      </c>
      <c r="B49" s="16">
        <f t="shared" ref="B49" si="47">WEEKNUM(A49)</f>
        <v>36</v>
      </c>
      <c r="C49" s="21" t="s">
        <v>26</v>
      </c>
      <c r="D49" s="17" t="s">
        <v>8</v>
      </c>
      <c r="E49" s="14" t="s">
        <v>35</v>
      </c>
      <c r="F49" s="9"/>
    </row>
    <row r="50" spans="1:11" x14ac:dyDescent="0.25">
      <c r="A50" s="15">
        <v>43350</v>
      </c>
      <c r="B50" s="16">
        <f t="shared" ref="B50" si="48">WEEKNUM(A50)</f>
        <v>36</v>
      </c>
      <c r="C50" s="21" t="s">
        <v>32</v>
      </c>
      <c r="D50" s="17" t="s">
        <v>8</v>
      </c>
      <c r="E50" s="14" t="s">
        <v>33</v>
      </c>
      <c r="F50" s="9"/>
    </row>
    <row r="51" spans="1:11" ht="45" x14ac:dyDescent="0.25">
      <c r="A51" s="15">
        <v>43350</v>
      </c>
      <c r="B51" s="16">
        <f t="shared" ref="B51" si="49">WEEKNUM(A51)</f>
        <v>36</v>
      </c>
      <c r="C51" s="21" t="s">
        <v>34</v>
      </c>
      <c r="D51" s="17" t="s">
        <v>8</v>
      </c>
      <c r="E51" s="14" t="s">
        <v>31</v>
      </c>
      <c r="F51" s="9"/>
    </row>
    <row r="52" spans="1:11" ht="30" x14ac:dyDescent="0.25">
      <c r="A52" s="15">
        <v>43347</v>
      </c>
      <c r="B52" s="16">
        <f t="shared" ref="B52" si="50">WEEKNUM(A52)</f>
        <v>36</v>
      </c>
      <c r="C52" s="21" t="s">
        <v>26</v>
      </c>
      <c r="D52" s="17" t="s">
        <v>8</v>
      </c>
      <c r="E52" s="14" t="s">
        <v>30</v>
      </c>
      <c r="F52" s="9"/>
    </row>
    <row r="53" spans="1:11" ht="30" x14ac:dyDescent="0.25">
      <c r="A53" s="15">
        <v>43347</v>
      </c>
      <c r="B53" s="16">
        <f t="shared" ref="B53" si="51">WEEKNUM(A53)</f>
        <v>36</v>
      </c>
      <c r="C53" s="21" t="s">
        <v>26</v>
      </c>
      <c r="D53" s="17" t="s">
        <v>5</v>
      </c>
      <c r="E53" s="14" t="s">
        <v>28</v>
      </c>
      <c r="F53" s="9"/>
    </row>
    <row r="54" spans="1:11" x14ac:dyDescent="0.25">
      <c r="A54" s="15">
        <v>43347</v>
      </c>
      <c r="B54" s="16">
        <f t="shared" ref="B54" si="52">WEEKNUM(A54)</f>
        <v>36</v>
      </c>
      <c r="C54" s="21" t="s">
        <v>26</v>
      </c>
      <c r="D54" s="17" t="s">
        <v>5</v>
      </c>
      <c r="E54" s="14" t="s">
        <v>27</v>
      </c>
      <c r="F54" s="9"/>
    </row>
    <row r="55" spans="1:11" x14ac:dyDescent="0.25">
      <c r="A55" s="15">
        <v>43347</v>
      </c>
      <c r="B55" s="16">
        <f t="shared" ref="B55" si="53">WEEKNUM(A55)</f>
        <v>36</v>
      </c>
      <c r="C55" s="21" t="s">
        <v>25</v>
      </c>
      <c r="D55" s="17" t="s">
        <v>5</v>
      </c>
      <c r="E55" s="14" t="s">
        <v>24</v>
      </c>
      <c r="F55" s="9"/>
    </row>
    <row r="56" spans="1:11" ht="30" x14ac:dyDescent="0.25">
      <c r="A56" s="15">
        <v>43343</v>
      </c>
      <c r="B56" s="16">
        <f t="shared" ref="B56" si="54">WEEKNUM(A56)</f>
        <v>35</v>
      </c>
      <c r="C56" s="21">
        <v>1</v>
      </c>
      <c r="D56" s="17" t="s">
        <v>5</v>
      </c>
      <c r="E56" s="14" t="s">
        <v>23</v>
      </c>
      <c r="F56" s="9"/>
    </row>
    <row r="57" spans="1:11" x14ac:dyDescent="0.25">
      <c r="A57" s="15">
        <v>43343</v>
      </c>
      <c r="B57" s="16">
        <f t="shared" ref="B57" si="55">WEEKNUM(A57)</f>
        <v>35</v>
      </c>
      <c r="C57" s="21">
        <v>1</v>
      </c>
      <c r="D57" s="17" t="s">
        <v>5</v>
      </c>
      <c r="E57" s="14" t="s">
        <v>21</v>
      </c>
      <c r="F57" s="9" t="s">
        <v>20</v>
      </c>
    </row>
    <row r="58" spans="1:11" ht="45.75" thickBot="1" x14ac:dyDescent="0.3">
      <c r="A58" s="15">
        <v>43343</v>
      </c>
      <c r="B58" s="16">
        <f>WEEKNUM(A58)</f>
        <v>35</v>
      </c>
      <c r="C58" s="21">
        <v>1</v>
      </c>
      <c r="D58" s="17" t="s">
        <v>5</v>
      </c>
      <c r="E58" s="14" t="s">
        <v>22</v>
      </c>
      <c r="F58" s="9"/>
    </row>
    <row r="59" spans="1:11" ht="15.75" x14ac:dyDescent="0.25">
      <c r="I59" s="30" t="s">
        <v>19</v>
      </c>
      <c r="J59" s="31"/>
      <c r="K59" s="32"/>
    </row>
    <row r="60" spans="1:11" x14ac:dyDescent="0.25">
      <c r="I60" s="33" t="s">
        <v>12</v>
      </c>
      <c r="J60" s="34"/>
      <c r="K60" s="18">
        <v>0</v>
      </c>
    </row>
    <row r="61" spans="1:11" x14ac:dyDescent="0.25">
      <c r="I61" s="35" t="s">
        <v>13</v>
      </c>
      <c r="J61" s="36"/>
      <c r="K61" s="18">
        <v>3</v>
      </c>
    </row>
    <row r="62" spans="1:11" x14ac:dyDescent="0.25">
      <c r="I62" s="35" t="s">
        <v>14</v>
      </c>
      <c r="J62" s="36"/>
      <c r="K62" s="18">
        <v>0</v>
      </c>
    </row>
    <row r="63" spans="1:11" x14ac:dyDescent="0.25">
      <c r="I63" s="35" t="s">
        <v>15</v>
      </c>
      <c r="J63" s="36"/>
      <c r="K63" s="18">
        <v>3</v>
      </c>
    </row>
    <row r="64" spans="1:11" ht="15.75" thickBot="1" x14ac:dyDescent="0.3">
      <c r="C64" s="8"/>
      <c r="I64" s="28" t="s">
        <v>16</v>
      </c>
      <c r="J64" s="29"/>
      <c r="K64" s="19">
        <v>0</v>
      </c>
    </row>
    <row r="65" spans="9:11" ht="15.75" thickBot="1" x14ac:dyDescent="0.3"/>
    <row r="66" spans="9:11" ht="15.75" thickBot="1" x14ac:dyDescent="0.3">
      <c r="I66" s="26" t="s">
        <v>18</v>
      </c>
      <c r="J66" s="27"/>
      <c r="K66" s="20">
        <f>SUM(K60:K64)</f>
        <v>6</v>
      </c>
    </row>
  </sheetData>
  <sheetProtection selectLockedCells="1"/>
  <mergeCells count="7">
    <mergeCell ref="I66:J66"/>
    <mergeCell ref="I64:J64"/>
    <mergeCell ref="I59:K59"/>
    <mergeCell ref="I60:J60"/>
    <mergeCell ref="I61:J61"/>
    <mergeCell ref="I62:J62"/>
    <mergeCell ref="I63:J63"/>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D2:D58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G25"/>
  <sheetViews>
    <sheetView workbookViewId="0">
      <selection activeCell="A3" sqref="A3"/>
    </sheetView>
  </sheetViews>
  <sheetFormatPr baseColWidth="10" defaultRowHeight="15" x14ac:dyDescent="0.25"/>
  <cols>
    <col min="1" max="1" width="26.5703125" customWidth="1"/>
    <col min="2" max="2" width="14.7109375" bestFit="1" customWidth="1"/>
    <col min="3" max="3" width="15.42578125" bestFit="1" customWidth="1"/>
    <col min="4" max="4" width="8" bestFit="1" customWidth="1"/>
    <col min="5" max="5" width="5.5703125" bestFit="1" customWidth="1"/>
    <col min="6" max="6" width="8.5703125" bestFit="1" customWidth="1"/>
    <col min="7" max="7" width="12.5703125" bestFit="1"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7" x14ac:dyDescent="0.25">
      <c r="A3" s="22" t="s">
        <v>29</v>
      </c>
    </row>
    <row r="4" spans="1:7" x14ac:dyDescent="0.25">
      <c r="B4" t="s">
        <v>8</v>
      </c>
      <c r="C4" t="s">
        <v>6</v>
      </c>
      <c r="D4" t="s">
        <v>5</v>
      </c>
      <c r="E4" t="s">
        <v>7</v>
      </c>
      <c r="F4" t="s">
        <v>9</v>
      </c>
      <c r="G4" t="s">
        <v>10</v>
      </c>
    </row>
    <row r="5" spans="1:7" x14ac:dyDescent="0.25">
      <c r="A5" s="3">
        <v>43343</v>
      </c>
      <c r="B5" s="24"/>
      <c r="C5" s="24"/>
      <c r="D5" s="24">
        <v>3</v>
      </c>
      <c r="E5" s="24"/>
      <c r="F5" s="24"/>
      <c r="G5" s="24">
        <v>3</v>
      </c>
    </row>
    <row r="6" spans="1:7" x14ac:dyDescent="0.25">
      <c r="A6" s="3">
        <v>43347</v>
      </c>
      <c r="B6" s="24">
        <v>1</v>
      </c>
      <c r="C6" s="24"/>
      <c r="D6" s="24">
        <v>3</v>
      </c>
      <c r="E6" s="24"/>
      <c r="F6" s="24"/>
      <c r="G6" s="24">
        <v>4</v>
      </c>
    </row>
    <row r="7" spans="1:7" x14ac:dyDescent="0.25">
      <c r="A7" s="3">
        <v>43406</v>
      </c>
      <c r="B7" s="24">
        <v>1</v>
      </c>
      <c r="C7" s="24">
        <v>1</v>
      </c>
      <c r="D7" s="24"/>
      <c r="E7" s="24"/>
      <c r="F7" s="24"/>
      <c r="G7" s="24">
        <v>2</v>
      </c>
    </row>
    <row r="8" spans="1:7" x14ac:dyDescent="0.25">
      <c r="A8" s="3">
        <v>43404</v>
      </c>
      <c r="B8" s="24"/>
      <c r="C8" s="24">
        <v>3</v>
      </c>
      <c r="D8" s="24"/>
      <c r="E8" s="24"/>
      <c r="F8" s="24"/>
      <c r="G8" s="24">
        <v>3</v>
      </c>
    </row>
    <row r="9" spans="1:7" x14ac:dyDescent="0.25">
      <c r="A9" s="3">
        <v>43385</v>
      </c>
      <c r="B9" s="24"/>
      <c r="C9" s="24">
        <v>2</v>
      </c>
      <c r="D9" s="24"/>
      <c r="E9" s="24"/>
      <c r="F9" s="24"/>
      <c r="G9" s="24">
        <v>2</v>
      </c>
    </row>
    <row r="10" spans="1:7" x14ac:dyDescent="0.25">
      <c r="A10" s="3">
        <v>43382</v>
      </c>
      <c r="B10" s="24"/>
      <c r="C10" s="24">
        <v>1</v>
      </c>
      <c r="D10" s="24">
        <v>1</v>
      </c>
      <c r="E10" s="24"/>
      <c r="F10" s="24"/>
      <c r="G10" s="24">
        <v>2</v>
      </c>
    </row>
    <row r="11" spans="1:7" x14ac:dyDescent="0.25">
      <c r="A11" s="3">
        <v>43378</v>
      </c>
      <c r="B11" s="24"/>
      <c r="C11" s="24">
        <v>2</v>
      </c>
      <c r="D11" s="24"/>
      <c r="E11" s="24"/>
      <c r="F11" s="24"/>
      <c r="G11" s="24">
        <v>2</v>
      </c>
    </row>
    <row r="12" spans="1:7" x14ac:dyDescent="0.25">
      <c r="A12" s="3">
        <v>43375</v>
      </c>
      <c r="B12" s="24"/>
      <c r="C12" s="24">
        <v>1</v>
      </c>
      <c r="D12" s="24"/>
      <c r="E12" s="24"/>
      <c r="F12" s="24"/>
      <c r="G12" s="24">
        <v>1</v>
      </c>
    </row>
    <row r="13" spans="1:7" x14ac:dyDescent="0.25">
      <c r="A13" s="3">
        <v>43371</v>
      </c>
      <c r="B13" s="24">
        <v>2</v>
      </c>
      <c r="C13" s="24"/>
      <c r="D13" s="24">
        <v>1</v>
      </c>
      <c r="E13" s="24"/>
      <c r="F13" s="24"/>
      <c r="G13" s="24">
        <v>3</v>
      </c>
    </row>
    <row r="14" spans="1:7" x14ac:dyDescent="0.25">
      <c r="A14" s="3">
        <v>43368</v>
      </c>
      <c r="B14" s="24"/>
      <c r="C14" s="24"/>
      <c r="D14" s="24"/>
      <c r="E14" s="24"/>
      <c r="F14" s="24">
        <v>1</v>
      </c>
      <c r="G14" s="24">
        <v>1</v>
      </c>
    </row>
    <row r="15" spans="1:7" x14ac:dyDescent="0.25">
      <c r="A15" s="3">
        <v>43357</v>
      </c>
      <c r="B15" s="24">
        <v>2</v>
      </c>
      <c r="C15" s="24"/>
      <c r="D15" s="24"/>
      <c r="E15" s="24">
        <v>1</v>
      </c>
      <c r="F15" s="24"/>
      <c r="G15" s="24">
        <v>3</v>
      </c>
    </row>
    <row r="16" spans="1:7" x14ac:dyDescent="0.25">
      <c r="A16" s="3">
        <v>43354</v>
      </c>
      <c r="B16" s="24">
        <v>2</v>
      </c>
      <c r="C16" s="24"/>
      <c r="D16" s="24"/>
      <c r="E16" s="24"/>
      <c r="F16" s="24">
        <v>1</v>
      </c>
      <c r="G16" s="24">
        <v>3</v>
      </c>
    </row>
    <row r="17" spans="1:7" x14ac:dyDescent="0.25">
      <c r="A17" s="3">
        <v>43350</v>
      </c>
      <c r="B17" s="24">
        <v>3</v>
      </c>
      <c r="C17" s="24"/>
      <c r="D17" s="24"/>
      <c r="E17" s="24"/>
      <c r="F17" s="24"/>
      <c r="G17" s="24">
        <v>3</v>
      </c>
    </row>
    <row r="18" spans="1:7" x14ac:dyDescent="0.25">
      <c r="A18" s="3">
        <v>43410</v>
      </c>
      <c r="B18" s="24">
        <v>1</v>
      </c>
      <c r="C18" s="24">
        <v>2</v>
      </c>
      <c r="D18" s="24"/>
      <c r="E18" s="24"/>
      <c r="F18" s="24"/>
      <c r="G18" s="24">
        <v>3</v>
      </c>
    </row>
    <row r="19" spans="1:7" x14ac:dyDescent="0.25">
      <c r="A19" s="3">
        <v>43431</v>
      </c>
      <c r="B19" s="24"/>
      <c r="C19" s="24">
        <v>1</v>
      </c>
      <c r="D19" s="24"/>
      <c r="E19" s="24"/>
      <c r="F19" s="24"/>
      <c r="G19" s="24">
        <v>1</v>
      </c>
    </row>
    <row r="20" spans="1:7" x14ac:dyDescent="0.25">
      <c r="A20" s="3">
        <v>43426</v>
      </c>
      <c r="B20" s="24"/>
      <c r="C20" s="24"/>
      <c r="D20" s="24"/>
      <c r="E20" s="24"/>
      <c r="F20" s="24">
        <v>1</v>
      </c>
      <c r="G20" s="24">
        <v>1</v>
      </c>
    </row>
    <row r="21" spans="1:7" x14ac:dyDescent="0.25">
      <c r="A21" s="3">
        <v>43424</v>
      </c>
      <c r="B21" s="24"/>
      <c r="C21" s="24">
        <v>1</v>
      </c>
      <c r="D21" s="24"/>
      <c r="E21" s="24"/>
      <c r="F21" s="24"/>
      <c r="G21" s="24">
        <v>1</v>
      </c>
    </row>
    <row r="22" spans="1:7" x14ac:dyDescent="0.25">
      <c r="A22" s="3">
        <v>43420</v>
      </c>
      <c r="B22" s="24"/>
      <c r="C22" s="24">
        <v>1</v>
      </c>
      <c r="D22" s="24"/>
      <c r="E22" s="24"/>
      <c r="F22" s="24"/>
      <c r="G22" s="24">
        <v>1</v>
      </c>
    </row>
    <row r="23" spans="1:7" x14ac:dyDescent="0.25">
      <c r="A23" s="3">
        <v>43419</v>
      </c>
      <c r="B23" s="24"/>
      <c r="C23" s="24"/>
      <c r="D23" s="24"/>
      <c r="E23" s="24"/>
      <c r="F23" s="24">
        <v>1</v>
      </c>
      <c r="G23" s="24">
        <v>1</v>
      </c>
    </row>
    <row r="24" spans="1:7" x14ac:dyDescent="0.25">
      <c r="A24" s="3">
        <v>43413</v>
      </c>
      <c r="B24" s="24"/>
      <c r="C24" s="24">
        <v>1</v>
      </c>
      <c r="D24" s="24"/>
      <c r="E24" s="24"/>
      <c r="F24" s="24"/>
      <c r="G24" s="24">
        <v>1</v>
      </c>
    </row>
    <row r="25" spans="1:7" x14ac:dyDescent="0.25">
      <c r="A25" s="3" t="s">
        <v>10</v>
      </c>
      <c r="B25" s="23">
        <v>12</v>
      </c>
      <c r="C25" s="23">
        <v>16</v>
      </c>
      <c r="D25" s="23">
        <v>8</v>
      </c>
      <c r="E25" s="23">
        <v>1</v>
      </c>
      <c r="F25" s="23">
        <v>4</v>
      </c>
      <c r="G25" s="23">
        <v>41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E11" sqref="E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2018-12-14T13:11:45Z</dcterms:modified>
</cp:coreProperties>
</file>